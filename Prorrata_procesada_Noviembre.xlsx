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northstarenergymanagement.sharepoint.com/sites/UPP-Latam/LATAM CROCC/0.0 Registros Diarios/Analisis Pelicano/"/>
    </mc:Choice>
  </mc:AlternateContent>
  <xr:revisionPtr revIDLastSave="0" documentId="8_{D3C9BB73-44B6-4FAA-BBC3-59D6FFE69242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Summary" sheetId="6" r:id="rId1"/>
    <sheet name="2025_11_01" sheetId="1" r:id="rId2"/>
    <sheet name="2025_11_02" sheetId="2" r:id="rId3"/>
    <sheet name="2025_11_03" sheetId="3" r:id="rId4"/>
    <sheet name="2025_11_04" sheetId="4" r:id="rId5"/>
    <sheet name="2025_11_05" sheetId="5" r:id="rId6"/>
    <sheet name="2025_11_06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C7" i="6"/>
  <c r="B7" i="6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D11" i="6"/>
  <c r="C11" i="6"/>
  <c r="B11" i="6"/>
  <c r="A19" i="8"/>
  <c r="C18" i="8" s="1"/>
  <c r="EE11" i="8"/>
  <c r="DX11" i="8"/>
  <c r="DQ11" i="8"/>
  <c r="DJ11" i="8"/>
  <c r="DC11" i="8"/>
  <c r="CV11" i="8"/>
  <c r="CO11" i="8"/>
  <c r="CH11" i="8"/>
  <c r="CA11" i="8"/>
  <c r="BT11" i="8"/>
  <c r="BM11" i="8"/>
  <c r="BF11" i="8"/>
  <c r="AY11" i="8"/>
  <c r="AR11" i="8"/>
  <c r="AK11" i="8"/>
  <c r="AD11" i="8"/>
  <c r="W11" i="8"/>
  <c r="P11" i="8"/>
  <c r="I11" i="8"/>
  <c r="EG8" i="8"/>
  <c r="EI6" i="8" s="1"/>
  <c r="DZ8" i="8"/>
  <c r="EB6" i="8" s="1"/>
  <c r="DS8" i="8"/>
  <c r="DU6" i="8" s="1"/>
  <c r="DL8" i="8"/>
  <c r="DN7" i="8" s="1"/>
  <c r="DE8" i="8"/>
  <c r="DG6" i="8" s="1"/>
  <c r="CX8" i="8"/>
  <c r="CZ5" i="8" s="1"/>
  <c r="CQ8" i="8"/>
  <c r="CS6" i="8" s="1"/>
  <c r="CJ8" i="8"/>
  <c r="CL7" i="8" s="1"/>
  <c r="CC8" i="8"/>
  <c r="CE6" i="8" s="1"/>
  <c r="BV8" i="8"/>
  <c r="BO8" i="8"/>
  <c r="BQ6" i="8" s="1"/>
  <c r="BH8" i="8"/>
  <c r="BJ7" i="8" s="1"/>
  <c r="BA8" i="8"/>
  <c r="BC6" i="8" s="1"/>
  <c r="AT8" i="8"/>
  <c r="AV7" i="8" s="1"/>
  <c r="AM8" i="8"/>
  <c r="AO6" i="8" s="1"/>
  <c r="AF8" i="8"/>
  <c r="AH7" i="8" s="1"/>
  <c r="Y8" i="8"/>
  <c r="AA6" i="8" s="1"/>
  <c r="R8" i="8"/>
  <c r="T5" i="8" s="1"/>
  <c r="K8" i="8"/>
  <c r="M6" i="8" s="1"/>
  <c r="D8" i="8"/>
  <c r="F7" i="8" s="1"/>
  <c r="CZ7" i="8"/>
  <c r="CL6" i="8"/>
  <c r="BJ6" i="8"/>
  <c r="AV6" i="8"/>
  <c r="AH6" i="8"/>
  <c r="AC116" i="5"/>
  <c r="AC117" i="5"/>
  <c r="AC115" i="5"/>
  <c r="AB116" i="5"/>
  <c r="AB117" i="5"/>
  <c r="AB115" i="5"/>
  <c r="AA116" i="5"/>
  <c r="AA117" i="5"/>
  <c r="AA115" i="5"/>
  <c r="Z116" i="5"/>
  <c r="Z117" i="5"/>
  <c r="Z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6" i="3"/>
  <c r="Z117" i="3"/>
  <c r="Y116" i="3"/>
  <c r="Y117" i="3"/>
  <c r="X116" i="3"/>
  <c r="X117" i="3"/>
  <c r="Z115" i="3"/>
  <c r="Y115" i="3"/>
  <c r="X115" i="3"/>
  <c r="C115" i="3"/>
  <c r="C10" i="6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D9" i="6"/>
  <c r="C9" i="6"/>
  <c r="B9" i="6"/>
  <c r="D8" i="6"/>
  <c r="C8" i="6"/>
  <c r="B8" i="6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W116" i="1"/>
  <c r="W117" i="1"/>
  <c r="W115" i="1"/>
  <c r="GI11" i="5"/>
  <c r="V116" i="1"/>
  <c r="V117" i="1"/>
  <c r="V115" i="1"/>
  <c r="U116" i="1"/>
  <c r="U117" i="1"/>
  <c r="U115" i="1"/>
  <c r="GG7" i="5"/>
  <c r="FZ7" i="5"/>
  <c r="GG6" i="5"/>
  <c r="FZ6" i="5"/>
  <c r="GG5" i="5"/>
  <c r="GI5" i="5" s="1"/>
  <c r="GI10" i="5" s="1"/>
  <c r="FZ5" i="5"/>
  <c r="T116" i="1"/>
  <c r="T117" i="1"/>
  <c r="FS7" i="5"/>
  <c r="FL7" i="5"/>
  <c r="FK7" i="5"/>
  <c r="FM7" i="5" s="1"/>
  <c r="FS6" i="5"/>
  <c r="FL6" i="5"/>
  <c r="FS5" i="5"/>
  <c r="FL5" i="5"/>
  <c r="FN5" i="5" s="1"/>
  <c r="FN10" i="5" s="1"/>
  <c r="T115" i="1"/>
  <c r="S116" i="1"/>
  <c r="S117" i="1"/>
  <c r="S115" i="1"/>
  <c r="R116" i="1"/>
  <c r="R117" i="1"/>
  <c r="R115" i="1"/>
  <c r="Q116" i="1"/>
  <c r="Q117" i="1"/>
  <c r="Q115" i="1"/>
  <c r="P116" i="1"/>
  <c r="P117" i="1"/>
  <c r="P115" i="1"/>
  <c r="O116" i="1"/>
  <c r="O117" i="1"/>
  <c r="O115" i="1"/>
  <c r="N116" i="1"/>
  <c r="N117" i="1"/>
  <c r="N115" i="1"/>
  <c r="M116" i="1"/>
  <c r="M117" i="1"/>
  <c r="M115" i="1"/>
  <c r="L116" i="1"/>
  <c r="L117" i="1"/>
  <c r="EX7" i="5"/>
  <c r="BD7" i="5"/>
  <c r="BF7" i="5" s="1"/>
  <c r="EL6" i="5"/>
  <c r="EJ6" i="5"/>
  <c r="EC6" i="5"/>
  <c r="DV6" i="5"/>
  <c r="DA6" i="5"/>
  <c r="CT6" i="5"/>
  <c r="CM6" i="5"/>
  <c r="CF6" i="5"/>
  <c r="BY6" i="5"/>
  <c r="AW6" i="5"/>
  <c r="AP6" i="5"/>
  <c r="AI6" i="5"/>
  <c r="AB6" i="5"/>
  <c r="U6" i="5"/>
  <c r="FE5" i="5"/>
  <c r="EJ5" i="5"/>
  <c r="DO5" i="5"/>
  <c r="DA5" i="5"/>
  <c r="DC5" i="5" s="1"/>
  <c r="DC10" i="5" s="1"/>
  <c r="CT5" i="5"/>
  <c r="CV5" i="5" s="1"/>
  <c r="BR5" i="5"/>
  <c r="BT5" i="5" s="1"/>
  <c r="AW5" i="5"/>
  <c r="AP5" i="5"/>
  <c r="AR5" i="5" s="1"/>
  <c r="U5" i="5"/>
  <c r="W5" i="5" s="1"/>
  <c r="W10" i="5" s="1"/>
  <c r="L115" i="1"/>
  <c r="K116" i="1"/>
  <c r="K117" i="1"/>
  <c r="K115" i="1"/>
  <c r="K8" i="5"/>
  <c r="M6" i="5" s="1"/>
  <c r="R8" i="5"/>
  <c r="T6" i="5" s="1"/>
  <c r="Y8" i="5"/>
  <c r="AA7" i="5" s="1"/>
  <c r="AF8" i="5"/>
  <c r="AM8" i="5"/>
  <c r="AR6" i="5" s="1"/>
  <c r="AT8" i="5"/>
  <c r="AV6" i="5" s="1"/>
  <c r="AX6" i="5" s="1"/>
  <c r="BA8" i="5"/>
  <c r="BC7" i="5" s="1"/>
  <c r="BH8" i="5"/>
  <c r="BO8" i="5"/>
  <c r="BV8" i="5"/>
  <c r="BX6" i="5" s="1"/>
  <c r="CC8" i="5"/>
  <c r="CE7" i="5" s="1"/>
  <c r="CJ8" i="5"/>
  <c r="CQ8" i="5"/>
  <c r="CV6" i="5" s="1"/>
  <c r="CX8" i="5"/>
  <c r="CZ6" i="5" s="1"/>
  <c r="DB6" i="5" s="1"/>
  <c r="DE8" i="5"/>
  <c r="DG7" i="5" s="1"/>
  <c r="DL8" i="5"/>
  <c r="DS8" i="5"/>
  <c r="DZ8" i="5"/>
  <c r="EB6" i="5" s="1"/>
  <c r="ED6" i="5" s="1"/>
  <c r="EG8" i="5"/>
  <c r="EI7" i="5" s="1"/>
  <c r="EN8" i="5"/>
  <c r="EU8" i="5"/>
  <c r="EW6" i="5" s="1"/>
  <c r="FB8" i="5"/>
  <c r="FD6" i="5" s="1"/>
  <c r="FI8" i="5"/>
  <c r="FP8" i="5"/>
  <c r="FW8" i="5"/>
  <c r="GD8" i="5"/>
  <c r="P11" i="5"/>
  <c r="W11" i="5"/>
  <c r="AD11" i="5"/>
  <c r="AK11" i="5"/>
  <c r="AR11" i="5"/>
  <c r="AY11" i="5"/>
  <c r="BF11" i="5"/>
  <c r="BM11" i="5"/>
  <c r="BT11" i="5"/>
  <c r="CA11" i="5"/>
  <c r="CH11" i="5"/>
  <c r="CO11" i="5"/>
  <c r="CV11" i="5"/>
  <c r="DC11" i="5"/>
  <c r="DJ11" i="5"/>
  <c r="DQ11" i="5"/>
  <c r="DX11" i="5"/>
  <c r="EE11" i="5"/>
  <c r="EL11" i="5"/>
  <c r="ES11" i="5"/>
  <c r="EZ11" i="5"/>
  <c r="FG11" i="5"/>
  <c r="FN11" i="5"/>
  <c r="FU11" i="5"/>
  <c r="GB11" i="5"/>
  <c r="I11" i="5"/>
  <c r="J115" i="1"/>
  <c r="D8" i="5"/>
  <c r="F6" i="5" s="1"/>
  <c r="J116" i="1"/>
  <c r="J117" i="1"/>
  <c r="A19" i="5"/>
  <c r="C17" i="5" s="1"/>
  <c r="EX6" i="5" s="1"/>
  <c r="C18" i="5"/>
  <c r="EJ7" i="5" s="1"/>
  <c r="EL7" i="5" s="1"/>
  <c r="C16" i="5"/>
  <c r="CF5" i="5" s="1"/>
  <c r="I116" i="1"/>
  <c r="I117" i="1"/>
  <c r="I115" i="1"/>
  <c r="H116" i="1"/>
  <c r="H117" i="1"/>
  <c r="H115" i="1"/>
  <c r="G116" i="1"/>
  <c r="G117" i="1"/>
  <c r="B12" i="4"/>
  <c r="B14" i="4" s="1"/>
  <c r="G115" i="1"/>
  <c r="FG11" i="4"/>
  <c r="FG12" i="4" s="1"/>
  <c r="P10" i="4"/>
  <c r="W10" i="4"/>
  <c r="W12" i="4" s="1"/>
  <c r="AD10" i="4"/>
  <c r="AD12" i="4" s="1"/>
  <c r="AK10" i="4"/>
  <c r="AR10" i="4"/>
  <c r="AR12" i="4" s="1"/>
  <c r="AY10" i="4"/>
  <c r="BF10" i="4"/>
  <c r="BM10" i="4"/>
  <c r="BM12" i="4" s="1"/>
  <c r="BT10" i="4"/>
  <c r="CA10" i="4"/>
  <c r="CA12" i="4" s="1"/>
  <c r="CH10" i="4"/>
  <c r="CH12" i="4" s="1"/>
  <c r="CO10" i="4"/>
  <c r="CV10" i="4"/>
  <c r="DC10" i="4"/>
  <c r="DJ10" i="4"/>
  <c r="DQ10" i="4"/>
  <c r="DQ12" i="4" s="1"/>
  <c r="DX10" i="4"/>
  <c r="EE10" i="4"/>
  <c r="EE12" i="4" s="1"/>
  <c r="EL10" i="4"/>
  <c r="EL12" i="4" s="1"/>
  <c r="ES10" i="4"/>
  <c r="EZ10" i="4"/>
  <c r="FG10" i="4"/>
  <c r="P11" i="4"/>
  <c r="W11" i="4"/>
  <c r="AD11" i="4"/>
  <c r="AK11" i="4"/>
  <c r="AK12" i="4" s="1"/>
  <c r="AR11" i="4"/>
  <c r="AY11" i="4"/>
  <c r="BF11" i="4"/>
  <c r="BM11" i="4"/>
  <c r="BT11" i="4"/>
  <c r="CA11" i="4"/>
  <c r="CH11" i="4"/>
  <c r="CO11" i="4"/>
  <c r="CO12" i="4" s="1"/>
  <c r="CV11" i="4"/>
  <c r="CV12" i="4" s="1"/>
  <c r="DC11" i="4"/>
  <c r="DJ11" i="4"/>
  <c r="DQ11" i="4"/>
  <c r="DX11" i="4"/>
  <c r="EE11" i="4"/>
  <c r="EL11" i="4"/>
  <c r="ES11" i="4"/>
  <c r="ES12" i="4" s="1"/>
  <c r="EZ11" i="4"/>
  <c r="EZ12" i="4" s="1"/>
  <c r="P12" i="4"/>
  <c r="AY12" i="4"/>
  <c r="BF12" i="4"/>
  <c r="BT12" i="4"/>
  <c r="DC12" i="4"/>
  <c r="DJ12" i="4"/>
  <c r="DX12" i="4"/>
  <c r="I11" i="4"/>
  <c r="I10" i="4"/>
  <c r="I12" i="4" s="1"/>
  <c r="F116" i="1"/>
  <c r="F117" i="1"/>
  <c r="E116" i="1"/>
  <c r="E117" i="1"/>
  <c r="D116" i="1"/>
  <c r="D117" i="1"/>
  <c r="C116" i="1"/>
  <c r="C117" i="1"/>
  <c r="F115" i="1"/>
  <c r="E115" i="1"/>
  <c r="D115" i="1"/>
  <c r="C115" i="1"/>
  <c r="FD5" i="4"/>
  <c r="FB8" i="4"/>
  <c r="FD6" i="4" s="1"/>
  <c r="EU8" i="4"/>
  <c r="EW5" i="4" s="1"/>
  <c r="EN8" i="4"/>
  <c r="EP7" i="4" s="1"/>
  <c r="EG8" i="4"/>
  <c r="EI7" i="4" s="1"/>
  <c r="DZ8" i="4"/>
  <c r="EB6" i="4" s="1"/>
  <c r="DS8" i="4"/>
  <c r="DU7" i="4" s="1"/>
  <c r="DL8" i="4"/>
  <c r="DN5" i="4" s="1"/>
  <c r="DE8" i="4"/>
  <c r="DG7" i="4" s="1"/>
  <c r="CX8" i="4"/>
  <c r="CZ7" i="4" s="1"/>
  <c r="CQ8" i="4"/>
  <c r="CS7" i="4" s="1"/>
  <c r="CJ8" i="4"/>
  <c r="CL6" i="4" s="1"/>
  <c r="CC8" i="4"/>
  <c r="CE7" i="4" s="1"/>
  <c r="BV8" i="4"/>
  <c r="BX7" i="4" s="1"/>
  <c r="BO8" i="4"/>
  <c r="BH8" i="4"/>
  <c r="BJ5" i="4" s="1"/>
  <c r="BA8" i="4"/>
  <c r="BC7" i="4" s="1"/>
  <c r="AT8" i="4"/>
  <c r="AV7" i="4" s="1"/>
  <c r="AM8" i="4"/>
  <c r="AO5" i="4" s="1"/>
  <c r="AF8" i="4"/>
  <c r="AH7" i="4" s="1"/>
  <c r="Y8" i="4"/>
  <c r="AA5" i="4" s="1"/>
  <c r="R8" i="4"/>
  <c r="T5" i="4" s="1"/>
  <c r="K8" i="4"/>
  <c r="M7" i="4" s="1"/>
  <c r="D8" i="4"/>
  <c r="EB7" i="4"/>
  <c r="T7" i="4"/>
  <c r="CZ6" i="4"/>
  <c r="BX6" i="4"/>
  <c r="AV6" i="4"/>
  <c r="T6" i="4"/>
  <c r="FE5" i="4"/>
  <c r="DO5" i="4"/>
  <c r="DH5" i="4"/>
  <c r="DJ5" i="4" s="1"/>
  <c r="DG5" i="4"/>
  <c r="CZ5" i="4"/>
  <c r="BK5" i="4"/>
  <c r="BD5" i="4"/>
  <c r="BF5" i="4" s="1"/>
  <c r="BC5" i="4"/>
  <c r="AV5" i="4"/>
  <c r="G5" i="4"/>
  <c r="ES11" i="2"/>
  <c r="EL11" i="2"/>
  <c r="W11" i="2"/>
  <c r="AD11" i="2"/>
  <c r="AK11" i="2"/>
  <c r="AR11" i="2"/>
  <c r="AY11" i="2"/>
  <c r="BF11" i="2"/>
  <c r="BM11" i="2"/>
  <c r="BT11" i="2"/>
  <c r="CA11" i="2"/>
  <c r="CH11" i="2"/>
  <c r="CO11" i="2"/>
  <c r="CV11" i="2"/>
  <c r="DC11" i="2"/>
  <c r="DJ11" i="2"/>
  <c r="DQ11" i="2"/>
  <c r="DX11" i="2"/>
  <c r="EE11" i="2"/>
  <c r="EN8" i="2"/>
  <c r="EG8" i="2"/>
  <c r="EI6" i="2" s="1"/>
  <c r="DZ8" i="2"/>
  <c r="EB6" i="2" s="1"/>
  <c r="DS8" i="2"/>
  <c r="DU7" i="2" s="1"/>
  <c r="DL8" i="2"/>
  <c r="DN7" i="2" s="1"/>
  <c r="DE8" i="2"/>
  <c r="DG6" i="2" s="1"/>
  <c r="CX8" i="2"/>
  <c r="CQ8" i="2"/>
  <c r="CS6" i="2" s="1"/>
  <c r="CJ8" i="2"/>
  <c r="CC8" i="2"/>
  <c r="CE6" i="2" s="1"/>
  <c r="BV8" i="2"/>
  <c r="BX6" i="2" s="1"/>
  <c r="BO8" i="2"/>
  <c r="BH8" i="2"/>
  <c r="BJ6" i="2" s="1"/>
  <c r="BA8" i="2"/>
  <c r="BC6" i="2" s="1"/>
  <c r="AT8" i="2"/>
  <c r="AM8" i="2"/>
  <c r="AO5" i="2" s="1"/>
  <c r="AF8" i="2"/>
  <c r="Y8" i="2"/>
  <c r="AA6" i="2" s="1"/>
  <c r="EP7" i="2"/>
  <c r="EI7" i="2"/>
  <c r="DG7" i="2"/>
  <c r="CL7" i="2"/>
  <c r="CE7" i="2"/>
  <c r="BQ7" i="2"/>
  <c r="AA7" i="2"/>
  <c r="EP6" i="2"/>
  <c r="DU6" i="2"/>
  <c r="CL6" i="2"/>
  <c r="BQ6" i="2"/>
  <c r="EI5" i="2"/>
  <c r="CL5" i="2"/>
  <c r="BQ5" i="2"/>
  <c r="AA5" i="2"/>
  <c r="B6" i="6"/>
  <c r="D6" i="6"/>
  <c r="C6" i="6"/>
  <c r="A19" i="4"/>
  <c r="C16" i="4" s="1"/>
  <c r="DA5" i="4" s="1"/>
  <c r="DC5" i="4" s="1"/>
  <c r="B12" i="3"/>
  <c r="B14" i="3" s="1"/>
  <c r="FN11" i="3"/>
  <c r="CV11" i="3"/>
  <c r="CV12" i="3" s="1"/>
  <c r="P10" i="3"/>
  <c r="W10" i="3"/>
  <c r="AD10" i="3"/>
  <c r="AK10" i="3"/>
  <c r="AR10" i="3"/>
  <c r="AY10" i="3"/>
  <c r="BF10" i="3"/>
  <c r="BF12" i="3" s="1"/>
  <c r="BM10" i="3"/>
  <c r="BM12" i="3" s="1"/>
  <c r="BT10" i="3"/>
  <c r="CA10" i="3"/>
  <c r="CH10" i="3"/>
  <c r="CO10" i="3"/>
  <c r="CV10" i="3"/>
  <c r="DC10" i="3"/>
  <c r="DJ10" i="3"/>
  <c r="DQ10" i="3"/>
  <c r="DX10" i="3"/>
  <c r="EE10" i="3"/>
  <c r="EL10" i="3"/>
  <c r="ES10" i="3"/>
  <c r="EZ10" i="3"/>
  <c r="FG10" i="3"/>
  <c r="FN10" i="3"/>
  <c r="FN12" i="3" s="1"/>
  <c r="P11" i="3"/>
  <c r="P12" i="3" s="1"/>
  <c r="W11" i="3"/>
  <c r="AD11" i="3"/>
  <c r="AK11" i="3"/>
  <c r="AR11" i="3"/>
  <c r="AY11" i="3"/>
  <c r="BF11" i="3"/>
  <c r="BM11" i="3"/>
  <c r="BT11" i="3"/>
  <c r="BT12" i="3" s="1"/>
  <c r="CA11" i="3"/>
  <c r="CH11" i="3"/>
  <c r="CO11" i="3"/>
  <c r="DC11" i="3"/>
  <c r="DC12" i="3" s="1"/>
  <c r="DJ11" i="3"/>
  <c r="DQ11" i="3"/>
  <c r="DX11" i="3"/>
  <c r="DX12" i="3" s="1"/>
  <c r="EE11" i="3"/>
  <c r="EE12" i="3" s="1"/>
  <c r="EL11" i="3"/>
  <c r="EL12" i="3" s="1"/>
  <c r="ES11" i="3"/>
  <c r="ES12" i="3" s="1"/>
  <c r="EZ11" i="3"/>
  <c r="EZ12" i="3" s="1"/>
  <c r="FG11" i="3"/>
  <c r="FG12" i="3" s="1"/>
  <c r="W12" i="3"/>
  <c r="AD12" i="3"/>
  <c r="AK12" i="3"/>
  <c r="AR12" i="3"/>
  <c r="AY12" i="3"/>
  <c r="CA12" i="3"/>
  <c r="CH12" i="3"/>
  <c r="CO12" i="3"/>
  <c r="I12" i="3"/>
  <c r="I11" i="3"/>
  <c r="I10" i="3"/>
  <c r="K8" i="3"/>
  <c r="M6" i="3" s="1"/>
  <c r="R8" i="3"/>
  <c r="T7" i="3" s="1"/>
  <c r="Y8" i="3"/>
  <c r="AA6" i="3" s="1"/>
  <c r="AF8" i="3"/>
  <c r="AH5" i="3" s="1"/>
  <c r="AM8" i="3"/>
  <c r="AO5" i="3" s="1"/>
  <c r="AT8" i="3"/>
  <c r="AV7" i="3" s="1"/>
  <c r="BA8" i="3"/>
  <c r="BH8" i="3"/>
  <c r="BJ5" i="3" s="1"/>
  <c r="BO8" i="3"/>
  <c r="BQ5" i="3" s="1"/>
  <c r="BV8" i="3"/>
  <c r="BX7" i="3" s="1"/>
  <c r="CC8" i="3"/>
  <c r="CE7" i="3" s="1"/>
  <c r="CJ8" i="3"/>
  <c r="CL5" i="3" s="1"/>
  <c r="CQ8" i="3"/>
  <c r="CS7" i="3" s="1"/>
  <c r="CX8" i="3"/>
  <c r="CZ7" i="3" s="1"/>
  <c r="DE8" i="3"/>
  <c r="DG7" i="3" s="1"/>
  <c r="DL8" i="3"/>
  <c r="DN5" i="3" s="1"/>
  <c r="DS8" i="3"/>
  <c r="DU7" i="3" s="1"/>
  <c r="DZ8" i="3"/>
  <c r="EB7" i="3" s="1"/>
  <c r="EG8" i="3"/>
  <c r="EI6" i="3" s="1"/>
  <c r="EN8" i="3"/>
  <c r="EP5" i="3" s="1"/>
  <c r="EU8" i="3"/>
  <c r="EW7" i="3" s="1"/>
  <c r="EY7" i="3" s="1"/>
  <c r="FB8" i="3"/>
  <c r="FD6" i="3" s="1"/>
  <c r="FI8" i="3"/>
  <c r="FK6" i="3" s="1"/>
  <c r="D8" i="3"/>
  <c r="F6" i="3" s="1"/>
  <c r="EP7" i="3"/>
  <c r="EI7" i="3"/>
  <c r="DH7" i="3"/>
  <c r="BR7" i="3"/>
  <c r="BQ7" i="3"/>
  <c r="BC7" i="3"/>
  <c r="AI7" i="3"/>
  <c r="DG6" i="3"/>
  <c r="CL6" i="3"/>
  <c r="CE6" i="3"/>
  <c r="BC6" i="3"/>
  <c r="T6" i="3"/>
  <c r="DG5" i="3"/>
  <c r="BC5" i="3"/>
  <c r="A19" i="3"/>
  <c r="C18" i="3" s="1"/>
  <c r="EX7" i="3" s="1"/>
  <c r="P11" i="2"/>
  <c r="R8" i="2"/>
  <c r="T7" i="2" s="1"/>
  <c r="EL11" i="1"/>
  <c r="ES11" i="1"/>
  <c r="P10" i="1"/>
  <c r="W10" i="1"/>
  <c r="AD10" i="1"/>
  <c r="AK10" i="1"/>
  <c r="AR10" i="1"/>
  <c r="AY10" i="1"/>
  <c r="BF10" i="1"/>
  <c r="BM10" i="1"/>
  <c r="BT10" i="1"/>
  <c r="CA10" i="1"/>
  <c r="CH10" i="1"/>
  <c r="CO10" i="1"/>
  <c r="CV10" i="1"/>
  <c r="DC10" i="1"/>
  <c r="DJ10" i="1"/>
  <c r="DQ10" i="1"/>
  <c r="DX10" i="1"/>
  <c r="EE10" i="1"/>
  <c r="EL10" i="1"/>
  <c r="ES10" i="1"/>
  <c r="P11" i="1"/>
  <c r="P12" i="1" s="1"/>
  <c r="W11" i="1"/>
  <c r="W12" i="1" s="1"/>
  <c r="AD11" i="1"/>
  <c r="AD12" i="1" s="1"/>
  <c r="AK11" i="1"/>
  <c r="AK12" i="1" s="1"/>
  <c r="AR11" i="1"/>
  <c r="AY11" i="1"/>
  <c r="BF11" i="1"/>
  <c r="BM11" i="1"/>
  <c r="BT11" i="1"/>
  <c r="BT12" i="1" s="1"/>
  <c r="CA11" i="1"/>
  <c r="CH11" i="1"/>
  <c r="CO11" i="1"/>
  <c r="CO12" i="1" s="1"/>
  <c r="CV11" i="1"/>
  <c r="DC11" i="1"/>
  <c r="DJ11" i="1"/>
  <c r="DQ11" i="1"/>
  <c r="DX11" i="1"/>
  <c r="DX12" i="1" s="1"/>
  <c r="EE11" i="1"/>
  <c r="ES12" i="1"/>
  <c r="AR12" i="1"/>
  <c r="AY12" i="1"/>
  <c r="BF12" i="1"/>
  <c r="BM12" i="1"/>
  <c r="CA12" i="1"/>
  <c r="CH12" i="1"/>
  <c r="CV12" i="1"/>
  <c r="DC12" i="1"/>
  <c r="DJ12" i="1"/>
  <c r="DQ12" i="1"/>
  <c r="EE12" i="1"/>
  <c r="EL12" i="1"/>
  <c r="I11" i="2"/>
  <c r="A19" i="2"/>
  <c r="C16" i="2" s="1"/>
  <c r="N5" i="2" s="1"/>
  <c r="K8" i="2"/>
  <c r="M5" i="2" s="1"/>
  <c r="D8" i="2"/>
  <c r="F6" i="2" s="1"/>
  <c r="I11" i="1"/>
  <c r="I10" i="1"/>
  <c r="G5" i="2"/>
  <c r="G6" i="2"/>
  <c r="G7" i="2"/>
  <c r="I12" i="1"/>
  <c r="U5" i="1"/>
  <c r="U6" i="1"/>
  <c r="U7" i="1"/>
  <c r="R8" i="1"/>
  <c r="T5" i="1" s="1"/>
  <c r="V5" i="1" s="1"/>
  <c r="AA5" i="1"/>
  <c r="AB5" i="1"/>
  <c r="AC5" i="1"/>
  <c r="AD5" i="1"/>
  <c r="AA6" i="1"/>
  <c r="AB6" i="1"/>
  <c r="AC6" i="1"/>
  <c r="AD6" i="1"/>
  <c r="AA7" i="1"/>
  <c r="AB7" i="1"/>
  <c r="AC7" i="1"/>
  <c r="AD7" i="1"/>
  <c r="EP6" i="1"/>
  <c r="EQ6" i="1"/>
  <c r="ER6" i="1"/>
  <c r="ES6" i="1"/>
  <c r="EP7" i="1"/>
  <c r="ER7" i="1" s="1"/>
  <c r="EQ7" i="1"/>
  <c r="ES7" i="1"/>
  <c r="ES5" i="1"/>
  <c r="EQ5" i="1"/>
  <c r="EP5" i="1"/>
  <c r="EN8" i="1"/>
  <c r="ER5" i="1"/>
  <c r="EL8" i="1"/>
  <c r="EI6" i="1"/>
  <c r="EK6" i="1" s="1"/>
  <c r="EJ6" i="1"/>
  <c r="EL6" i="1" s="1"/>
  <c r="EI7" i="1"/>
  <c r="EK7" i="1" s="1"/>
  <c r="EJ7" i="1"/>
  <c r="EL7" i="1" s="1"/>
  <c r="EL5" i="1"/>
  <c r="EJ5" i="1"/>
  <c r="EI5" i="1"/>
  <c r="EG8" i="1"/>
  <c r="EB5" i="1"/>
  <c r="DZ8" i="1"/>
  <c r="EB6" i="1" s="1"/>
  <c r="DS8" i="1"/>
  <c r="DU6" i="1" s="1"/>
  <c r="DL8" i="1"/>
  <c r="DN6" i="1" s="1"/>
  <c r="DE8" i="1"/>
  <c r="DG6" i="1" s="1"/>
  <c r="CX8" i="1"/>
  <c r="CZ6" i="1" s="1"/>
  <c r="CQ8" i="1"/>
  <c r="CS6" i="1" s="1"/>
  <c r="CJ8" i="1"/>
  <c r="CL6" i="1" s="1"/>
  <c r="CC8" i="1"/>
  <c r="CE6" i="1" s="1"/>
  <c r="BV8" i="1"/>
  <c r="BX7" i="1" s="1"/>
  <c r="BO8" i="1"/>
  <c r="BQ6" i="1" s="1"/>
  <c r="BH8" i="1"/>
  <c r="BJ6" i="1" s="1"/>
  <c r="BA8" i="1"/>
  <c r="BC6" i="1" s="1"/>
  <c r="AT8" i="1"/>
  <c r="AV5" i="1" s="1"/>
  <c r="AM8" i="1"/>
  <c r="AO5" i="1" s="1"/>
  <c r="AF8" i="1"/>
  <c r="AH6" i="1" s="1"/>
  <c r="Y8" i="1"/>
  <c r="A19" i="1"/>
  <c r="C17" i="1" s="1"/>
  <c r="AI6" i="1" s="1"/>
  <c r="K8" i="1"/>
  <c r="M5" i="1" s="1"/>
  <c r="D8" i="1"/>
  <c r="F6" i="1" s="1"/>
  <c r="AV5" i="8" l="1"/>
  <c r="CZ6" i="8"/>
  <c r="EB5" i="8"/>
  <c r="T6" i="8"/>
  <c r="EB7" i="8"/>
  <c r="C16" i="8"/>
  <c r="AB5" i="8" s="1"/>
  <c r="AD5" i="8" s="1"/>
  <c r="AD10" i="8" s="1"/>
  <c r="AD12" i="8" s="1"/>
  <c r="C17" i="8"/>
  <c r="BX7" i="8"/>
  <c r="BX6" i="8"/>
  <c r="BX5" i="8"/>
  <c r="DN6" i="8"/>
  <c r="T7" i="8"/>
  <c r="F6" i="8"/>
  <c r="CN7" i="8"/>
  <c r="EC7" i="8"/>
  <c r="DO7" i="8"/>
  <c r="DQ7" i="8" s="1"/>
  <c r="DA7" i="8"/>
  <c r="CM7" i="8"/>
  <c r="CO7" i="8" s="1"/>
  <c r="BY7" i="8"/>
  <c r="BK7" i="8"/>
  <c r="BM7" i="8" s="1"/>
  <c r="AW7" i="8"/>
  <c r="AI7" i="8"/>
  <c r="AK7" i="8" s="1"/>
  <c r="U7" i="8"/>
  <c r="G7" i="8"/>
  <c r="I7" i="8" s="1"/>
  <c r="DH7" i="8"/>
  <c r="DJ7" i="8" s="1"/>
  <c r="BR7" i="8"/>
  <c r="BT7" i="8" s="1"/>
  <c r="AB7" i="8"/>
  <c r="AD7" i="8" s="1"/>
  <c r="DV7" i="8"/>
  <c r="DX7" i="8" s="1"/>
  <c r="CF7" i="8"/>
  <c r="CH7" i="8" s="1"/>
  <c r="BD7" i="8"/>
  <c r="BF7" i="8" s="1"/>
  <c r="N7" i="8"/>
  <c r="P7" i="8" s="1"/>
  <c r="EJ7" i="8"/>
  <c r="EL7" i="8" s="1"/>
  <c r="CT7" i="8"/>
  <c r="CV7" i="8" s="1"/>
  <c r="AP7" i="8"/>
  <c r="AR7" i="8" s="1"/>
  <c r="M5" i="8"/>
  <c r="AA5" i="8"/>
  <c r="AO5" i="8"/>
  <c r="BC5" i="8"/>
  <c r="BQ5" i="8"/>
  <c r="CE5" i="8"/>
  <c r="CS5" i="8"/>
  <c r="DG5" i="8"/>
  <c r="DU5" i="8"/>
  <c r="EI5" i="8"/>
  <c r="M7" i="8"/>
  <c r="AA7" i="8"/>
  <c r="AO7" i="8"/>
  <c r="BC7" i="8"/>
  <c r="BQ7" i="8"/>
  <c r="BS7" i="8" s="1"/>
  <c r="CE7" i="8"/>
  <c r="CS7" i="8"/>
  <c r="DG7" i="8"/>
  <c r="DU7" i="8"/>
  <c r="EI7" i="8"/>
  <c r="F5" i="8"/>
  <c r="AH5" i="8"/>
  <c r="BJ5" i="8"/>
  <c r="CL5" i="8"/>
  <c r="DN5" i="8"/>
  <c r="AB7" i="5"/>
  <c r="FR5" i="5"/>
  <c r="FT5" i="5" s="1"/>
  <c r="DI7" i="5"/>
  <c r="BE7" i="5"/>
  <c r="AI5" i="5"/>
  <c r="AK5" i="5" s="1"/>
  <c r="CM5" i="5"/>
  <c r="CO5" i="5" s="1"/>
  <c r="CO10" i="5" s="1"/>
  <c r="CO12" i="5" s="1"/>
  <c r="EC5" i="5"/>
  <c r="EE5" i="5" s="1"/>
  <c r="EE10" i="5" s="1"/>
  <c r="EE12" i="5" s="1"/>
  <c r="BR6" i="5"/>
  <c r="DO6" i="5"/>
  <c r="FE6" i="5"/>
  <c r="FF6" i="5" s="1"/>
  <c r="AW7" i="5"/>
  <c r="DA7" i="5"/>
  <c r="DC7" i="5" s="1"/>
  <c r="EQ7" i="5"/>
  <c r="GB5" i="5"/>
  <c r="GB10" i="5" s="1"/>
  <c r="GB12" i="5" s="1"/>
  <c r="F7" i="5"/>
  <c r="H7" i="5" s="1"/>
  <c r="G7" i="5"/>
  <c r="DH7" i="5"/>
  <c r="DJ7" i="5" s="1"/>
  <c r="G5" i="5"/>
  <c r="I5" i="5" s="1"/>
  <c r="BD5" i="5"/>
  <c r="BF5" i="5" s="1"/>
  <c r="EQ5" i="5"/>
  <c r="ES5" i="5" s="1"/>
  <c r="AK6" i="5"/>
  <c r="CO6" i="5"/>
  <c r="EI6" i="5"/>
  <c r="EK6" i="5" s="1"/>
  <c r="N7" i="5"/>
  <c r="BR7" i="5"/>
  <c r="DO7" i="5"/>
  <c r="DQ7" i="5" s="1"/>
  <c r="DQ8" i="5" s="1"/>
  <c r="FR7" i="5"/>
  <c r="FT7" i="5" s="1"/>
  <c r="EY6" i="5"/>
  <c r="BK7" i="5"/>
  <c r="FE7" i="5"/>
  <c r="EK7" i="5"/>
  <c r="AC7" i="5"/>
  <c r="N5" i="5"/>
  <c r="P5" i="5" s="1"/>
  <c r="BK5" i="5"/>
  <c r="BM5" i="5" s="1"/>
  <c r="BM10" i="5" s="1"/>
  <c r="BM12" i="5" s="1"/>
  <c r="DH5" i="5"/>
  <c r="DJ5" i="5" s="1"/>
  <c r="DJ8" i="5" s="1"/>
  <c r="EX5" i="5"/>
  <c r="U7" i="5"/>
  <c r="BY7" i="5"/>
  <c r="DV7" i="5"/>
  <c r="FU7" i="5"/>
  <c r="V6" i="5"/>
  <c r="DC6" i="5"/>
  <c r="DC8" i="5" s="1"/>
  <c r="EB7" i="5"/>
  <c r="DX6" i="5"/>
  <c r="BT6" i="5"/>
  <c r="BY5" i="5"/>
  <c r="DV5" i="5"/>
  <c r="G6" i="5"/>
  <c r="H6" i="5" s="1"/>
  <c r="BD6" i="5"/>
  <c r="BF6" i="5" s="1"/>
  <c r="DH6" i="5"/>
  <c r="DJ6" i="5" s="1"/>
  <c r="EQ6" i="5"/>
  <c r="AI7" i="5"/>
  <c r="AK7" i="5" s="1"/>
  <c r="CM7" i="5"/>
  <c r="EC7" i="5"/>
  <c r="BZ6" i="5"/>
  <c r="CF7" i="5"/>
  <c r="CG7" i="5" s="1"/>
  <c r="DQ5" i="5"/>
  <c r="DQ10" i="5" s="1"/>
  <c r="DQ12" i="5" s="1"/>
  <c r="AB5" i="5"/>
  <c r="AD5" i="5" s="1"/>
  <c r="EB5" i="5"/>
  <c r="N6" i="5"/>
  <c r="P6" i="5" s="1"/>
  <c r="BK6" i="5"/>
  <c r="AP7" i="5"/>
  <c r="AR7" i="5" s="1"/>
  <c r="AR8" i="5" s="1"/>
  <c r="CT7" i="5"/>
  <c r="CV7" i="5" s="1"/>
  <c r="CV8" i="5" s="1"/>
  <c r="FY5" i="5"/>
  <c r="GA5" i="5" s="1"/>
  <c r="FN12" i="5"/>
  <c r="FU5" i="5"/>
  <c r="FU10" i="5" s="1"/>
  <c r="FU12" i="5" s="1"/>
  <c r="GF6" i="5"/>
  <c r="GH6" i="5" s="1"/>
  <c r="FR6" i="5"/>
  <c r="FT6" i="5" s="1"/>
  <c r="GI6" i="5"/>
  <c r="FU6" i="5"/>
  <c r="GF5" i="5"/>
  <c r="GH5" i="5" s="1"/>
  <c r="GF7" i="5"/>
  <c r="GH7" i="5" s="1"/>
  <c r="GI7" i="5"/>
  <c r="FK5" i="5"/>
  <c r="FM5" i="5" s="1"/>
  <c r="FY7" i="5"/>
  <c r="GA7" i="5" s="1"/>
  <c r="FN7" i="5"/>
  <c r="GB7" i="5"/>
  <c r="FK6" i="5"/>
  <c r="FM6" i="5" s="1"/>
  <c r="FY6" i="5"/>
  <c r="GA6" i="5" s="1"/>
  <c r="FN6" i="5"/>
  <c r="FN8" i="5" s="1"/>
  <c r="GB6" i="5"/>
  <c r="GI12" i="5"/>
  <c r="FD7" i="5"/>
  <c r="FF7" i="5" s="1"/>
  <c r="FD5" i="5"/>
  <c r="FF5" i="5" s="1"/>
  <c r="FG7" i="5"/>
  <c r="FG5" i="5"/>
  <c r="FG10" i="5" s="1"/>
  <c r="FG12" i="5" s="1"/>
  <c r="EZ7" i="5"/>
  <c r="EZ5" i="5"/>
  <c r="EZ10" i="5" s="1"/>
  <c r="EZ12" i="5" s="1"/>
  <c r="ES6" i="5"/>
  <c r="EL5" i="5"/>
  <c r="EL10" i="5" s="1"/>
  <c r="EL12" i="5" s="1"/>
  <c r="EE7" i="5"/>
  <c r="EE6" i="5"/>
  <c r="DX5" i="5"/>
  <c r="DX8" i="5" s="1"/>
  <c r="DX7" i="5"/>
  <c r="DQ6" i="5"/>
  <c r="DG6" i="5"/>
  <c r="DI6" i="5" s="1"/>
  <c r="CZ5" i="5"/>
  <c r="DB5" i="5" s="1"/>
  <c r="CZ7" i="5"/>
  <c r="CE6" i="5"/>
  <c r="CG6" i="5" s="1"/>
  <c r="CH5" i="5"/>
  <c r="CH6" i="5"/>
  <c r="BX7" i="5"/>
  <c r="BX5" i="5"/>
  <c r="BZ5" i="5" s="1"/>
  <c r="CA6" i="5"/>
  <c r="CA7" i="5"/>
  <c r="CA5" i="5"/>
  <c r="CA10" i="5" s="1"/>
  <c r="BT7" i="5"/>
  <c r="BT8" i="5" s="1"/>
  <c r="BM6" i="5"/>
  <c r="BC6" i="5"/>
  <c r="AV5" i="5"/>
  <c r="AX5" i="5" s="1"/>
  <c r="AY5" i="5"/>
  <c r="AY10" i="5" s="1"/>
  <c r="AY12" i="5" s="1"/>
  <c r="AY6" i="5"/>
  <c r="AV7" i="5"/>
  <c r="AX7" i="5" s="1"/>
  <c r="AY7" i="5"/>
  <c r="AY8" i="5" s="1"/>
  <c r="AA6" i="5"/>
  <c r="AC6" i="5" s="1"/>
  <c r="AD6" i="5"/>
  <c r="AD7" i="5"/>
  <c r="W6" i="5"/>
  <c r="T7" i="5"/>
  <c r="V7" i="5" s="1"/>
  <c r="T5" i="5"/>
  <c r="V5" i="5" s="1"/>
  <c r="W7" i="5"/>
  <c r="W8" i="5" s="1"/>
  <c r="F5" i="5"/>
  <c r="I7" i="5"/>
  <c r="P7" i="5"/>
  <c r="AD8" i="5"/>
  <c r="AD10" i="5"/>
  <c r="AD12" i="5" s="1"/>
  <c r="CV10" i="5"/>
  <c r="EL8" i="5"/>
  <c r="AR10" i="5"/>
  <c r="AR12" i="5" s="1"/>
  <c r="BT10" i="5"/>
  <c r="BT12" i="5" s="1"/>
  <c r="EZ6" i="5"/>
  <c r="EZ8" i="5" s="1"/>
  <c r="BM7" i="5"/>
  <c r="CO7" i="5"/>
  <c r="ES7" i="5"/>
  <c r="CA12" i="5"/>
  <c r="W12" i="5"/>
  <c r="M5" i="5"/>
  <c r="AA5" i="5"/>
  <c r="AC5" i="5" s="1"/>
  <c r="AO5" i="5"/>
  <c r="AQ5" i="5" s="1"/>
  <c r="BC5" i="5"/>
  <c r="BQ5" i="5"/>
  <c r="BS5" i="5" s="1"/>
  <c r="CE5" i="5"/>
  <c r="CG5" i="5" s="1"/>
  <c r="CS5" i="5"/>
  <c r="CU5" i="5" s="1"/>
  <c r="DG5" i="5"/>
  <c r="DI5" i="5" s="1"/>
  <c r="DU5" i="5"/>
  <c r="EI5" i="5"/>
  <c r="EK5" i="5" s="1"/>
  <c r="EW5" i="5"/>
  <c r="EY5" i="5" s="1"/>
  <c r="AH6" i="5"/>
  <c r="AJ6" i="5" s="1"/>
  <c r="BJ6" i="5"/>
  <c r="BL6" i="5" s="1"/>
  <c r="CL6" i="5"/>
  <c r="CN6" i="5" s="1"/>
  <c r="DN6" i="5"/>
  <c r="DP6" i="5" s="1"/>
  <c r="EP6" i="5"/>
  <c r="ER6" i="5" s="1"/>
  <c r="M7" i="5"/>
  <c r="O7" i="5" s="1"/>
  <c r="AO7" i="5"/>
  <c r="AQ7" i="5" s="1"/>
  <c r="BQ7" i="5"/>
  <c r="BS7" i="5" s="1"/>
  <c r="CS7" i="5"/>
  <c r="DU7" i="5"/>
  <c r="DW7" i="5" s="1"/>
  <c r="EW7" i="5"/>
  <c r="EY7" i="5" s="1"/>
  <c r="EE8" i="5"/>
  <c r="AH5" i="5"/>
  <c r="AJ5" i="5" s="1"/>
  <c r="BJ5" i="5"/>
  <c r="CL5" i="5"/>
  <c r="DN5" i="5"/>
  <c r="DP5" i="5" s="1"/>
  <c r="EP5" i="5"/>
  <c r="CV12" i="5"/>
  <c r="DC12" i="5"/>
  <c r="AO6" i="5"/>
  <c r="AQ6" i="5" s="1"/>
  <c r="BQ6" i="5"/>
  <c r="BS6" i="5" s="1"/>
  <c r="CS6" i="5"/>
  <c r="CU6" i="5" s="1"/>
  <c r="DU6" i="5"/>
  <c r="DW6" i="5" s="1"/>
  <c r="AH7" i="5"/>
  <c r="AJ7" i="5" s="1"/>
  <c r="BJ7" i="5"/>
  <c r="BL7" i="5" s="1"/>
  <c r="CL7" i="5"/>
  <c r="CN7" i="5" s="1"/>
  <c r="DN7" i="5"/>
  <c r="DP7" i="5" s="1"/>
  <c r="EP7" i="5"/>
  <c r="ER7" i="5" s="1"/>
  <c r="BE5" i="4"/>
  <c r="DI5" i="4"/>
  <c r="EW6" i="4"/>
  <c r="AH6" i="4"/>
  <c r="U5" i="4"/>
  <c r="W5" i="4" s="1"/>
  <c r="CE5" i="4"/>
  <c r="CG5" i="4" s="1"/>
  <c r="EI5" i="4"/>
  <c r="AO6" i="4"/>
  <c r="CF5" i="4"/>
  <c r="CH5" i="4" s="1"/>
  <c r="EJ5" i="4"/>
  <c r="AO7" i="4"/>
  <c r="AB5" i="4"/>
  <c r="AC5" i="4" s="1"/>
  <c r="CM5" i="4"/>
  <c r="CO5" i="4" s="1"/>
  <c r="EQ5" i="4"/>
  <c r="ES5" i="4" s="1"/>
  <c r="FD7" i="4"/>
  <c r="AI5" i="4"/>
  <c r="AK5" i="4" s="1"/>
  <c r="CS5" i="4"/>
  <c r="CS6" i="4"/>
  <c r="EX5" i="4"/>
  <c r="FG5" i="4"/>
  <c r="DG6" i="4"/>
  <c r="BL5" i="4"/>
  <c r="DP5" i="4"/>
  <c r="EY5" i="4"/>
  <c r="BC6" i="4"/>
  <c r="AP5" i="4"/>
  <c r="AR5" i="4" s="1"/>
  <c r="BR5" i="4"/>
  <c r="CT5" i="4"/>
  <c r="CV5" i="4" s="1"/>
  <c r="DV5" i="4"/>
  <c r="FF5" i="4"/>
  <c r="CU5" i="4"/>
  <c r="BX5" i="4"/>
  <c r="EB5" i="4"/>
  <c r="N5" i="4"/>
  <c r="BY5" i="4"/>
  <c r="CA5" i="4" s="1"/>
  <c r="DB5" i="4"/>
  <c r="EC5" i="4"/>
  <c r="EE5" i="4" s="1"/>
  <c r="BQ6" i="4"/>
  <c r="AQ5" i="4"/>
  <c r="EZ5" i="4"/>
  <c r="AW5" i="4"/>
  <c r="AY5" i="4" s="1"/>
  <c r="EK5" i="4"/>
  <c r="EW7" i="4"/>
  <c r="EP5" i="4"/>
  <c r="EP6" i="4"/>
  <c r="EI6" i="4"/>
  <c r="EL5" i="4"/>
  <c r="DU5" i="4"/>
  <c r="DU6" i="4"/>
  <c r="DX5" i="4"/>
  <c r="DN6" i="4"/>
  <c r="DN7" i="4"/>
  <c r="DQ5" i="4"/>
  <c r="CL5" i="4"/>
  <c r="CL7" i="4"/>
  <c r="CE6" i="4"/>
  <c r="BQ5" i="4"/>
  <c r="BS5" i="4" s="1"/>
  <c r="BQ7" i="4"/>
  <c r="BT5" i="4"/>
  <c r="BJ7" i="4"/>
  <c r="BJ6" i="4"/>
  <c r="BM5" i="4"/>
  <c r="AH5" i="4"/>
  <c r="AJ5" i="4" s="1"/>
  <c r="AA6" i="4"/>
  <c r="AA7" i="4"/>
  <c r="M5" i="4"/>
  <c r="P5" i="4"/>
  <c r="M6" i="4"/>
  <c r="F6" i="4"/>
  <c r="F5" i="4"/>
  <c r="H5" i="4" s="1"/>
  <c r="F7" i="4"/>
  <c r="I5" i="4"/>
  <c r="EC5" i="2"/>
  <c r="BC5" i="2"/>
  <c r="BX5" i="2"/>
  <c r="CF5" i="2"/>
  <c r="CH5" i="2" s="1"/>
  <c r="CH10" i="2" s="1"/>
  <c r="CH12" i="2" s="1"/>
  <c r="CT5" i="2"/>
  <c r="CV5" i="2" s="1"/>
  <c r="CV10" i="2" s="1"/>
  <c r="CV12" i="2" s="1"/>
  <c r="DU5" i="2"/>
  <c r="BC7" i="2"/>
  <c r="T6" i="2"/>
  <c r="BD5" i="2"/>
  <c r="BF5" i="2" s="1"/>
  <c r="BF10" i="2" s="1"/>
  <c r="BF12" i="2" s="1"/>
  <c r="AO7" i="2"/>
  <c r="BE5" i="2"/>
  <c r="C18" i="2"/>
  <c r="BK5" i="2"/>
  <c r="CM5" i="2"/>
  <c r="CO5" i="2" s="1"/>
  <c r="CO10" i="2" s="1"/>
  <c r="CO12" i="2" s="1"/>
  <c r="DV5" i="2"/>
  <c r="DX5" i="2" s="1"/>
  <c r="DX10" i="2" s="1"/>
  <c r="DX12" i="2" s="1"/>
  <c r="BR5" i="2"/>
  <c r="BT5" i="2" s="1"/>
  <c r="BT10" i="2" s="1"/>
  <c r="BT12" i="2" s="1"/>
  <c r="DA5" i="2"/>
  <c r="AO6" i="2"/>
  <c r="AB5" i="2"/>
  <c r="AD5" i="2" s="1"/>
  <c r="AD10" i="2" s="1"/>
  <c r="AD12" i="2" s="1"/>
  <c r="DH5" i="2"/>
  <c r="DJ5" i="2" s="1"/>
  <c r="DJ10" i="2" s="1"/>
  <c r="DJ12" i="2" s="1"/>
  <c r="EJ5" i="2"/>
  <c r="EK5" i="2" s="1"/>
  <c r="AI5" i="2"/>
  <c r="BY5" i="2"/>
  <c r="CA5" i="2" s="1"/>
  <c r="CA10" i="2" s="1"/>
  <c r="CA12" i="2" s="1"/>
  <c r="DN5" i="2"/>
  <c r="EQ5" i="2"/>
  <c r="ES5" i="2" s="1"/>
  <c r="ES10" i="2" s="1"/>
  <c r="ES12" i="2" s="1"/>
  <c r="DN6" i="2"/>
  <c r="AP5" i="2"/>
  <c r="AQ5" i="2" s="1"/>
  <c r="M7" i="2"/>
  <c r="AW5" i="2"/>
  <c r="AY5" i="2" s="1"/>
  <c r="AY10" i="2" s="1"/>
  <c r="AY12" i="2" s="1"/>
  <c r="DO5" i="2"/>
  <c r="DQ5" i="2" s="1"/>
  <c r="DQ10" i="2" s="1"/>
  <c r="DQ12" i="2" s="1"/>
  <c r="EP5" i="2"/>
  <c r="EB5" i="2"/>
  <c r="ED5" i="2" s="1"/>
  <c r="EE5" i="2"/>
  <c r="EE10" i="2" s="1"/>
  <c r="EE12" i="2" s="1"/>
  <c r="EB7" i="2"/>
  <c r="DG5" i="2"/>
  <c r="CZ6" i="2"/>
  <c r="CZ5" i="2"/>
  <c r="DC5" i="2"/>
  <c r="DC10" i="2" s="1"/>
  <c r="DC12" i="2" s="1"/>
  <c r="CZ7" i="2"/>
  <c r="CS7" i="2"/>
  <c r="CS5" i="2"/>
  <c r="CU5" i="2" s="1"/>
  <c r="CE5" i="2"/>
  <c r="BX7" i="2"/>
  <c r="BJ5" i="2"/>
  <c r="BL5" i="2" s="1"/>
  <c r="BM5" i="2"/>
  <c r="BM10" i="2" s="1"/>
  <c r="BM12" i="2" s="1"/>
  <c r="BJ7" i="2"/>
  <c r="AV5" i="2"/>
  <c r="AV6" i="2"/>
  <c r="AV7" i="2"/>
  <c r="AH7" i="2"/>
  <c r="AH6" i="2"/>
  <c r="AH5" i="2"/>
  <c r="AK5" i="2"/>
  <c r="AK10" i="2" s="1"/>
  <c r="AK12" i="2" s="1"/>
  <c r="C18" i="4"/>
  <c r="C17" i="4"/>
  <c r="DQ12" i="3"/>
  <c r="DJ12" i="3"/>
  <c r="AO6" i="3"/>
  <c r="AO7" i="3"/>
  <c r="DO7" i="3"/>
  <c r="EZ7" i="3"/>
  <c r="M5" i="3"/>
  <c r="BQ6" i="3"/>
  <c r="BK7" i="3"/>
  <c r="BM7" i="3" s="1"/>
  <c r="EQ7" i="3"/>
  <c r="ER7" i="3" s="1"/>
  <c r="EW5" i="3"/>
  <c r="CE5" i="3"/>
  <c r="EW6" i="3"/>
  <c r="AB7" i="3"/>
  <c r="DA7" i="3"/>
  <c r="FD7" i="3"/>
  <c r="V7" i="3"/>
  <c r="F5" i="3"/>
  <c r="U7" i="3"/>
  <c r="W7" i="3" s="1"/>
  <c r="BJ7" i="3"/>
  <c r="CT7" i="3"/>
  <c r="CU7" i="3" s="1"/>
  <c r="FE7" i="3"/>
  <c r="FG7" i="3" s="1"/>
  <c r="BS7" i="3"/>
  <c r="FL7" i="3"/>
  <c r="FN7" i="3" s="1"/>
  <c r="FK7" i="3"/>
  <c r="FF7" i="3"/>
  <c r="T5" i="3"/>
  <c r="F7" i="3"/>
  <c r="H7" i="3" s="1"/>
  <c r="AP7" i="3"/>
  <c r="AR7" i="3" s="1"/>
  <c r="BY7" i="3"/>
  <c r="DV7" i="3"/>
  <c r="DW7" i="3" s="1"/>
  <c r="DI7" i="3"/>
  <c r="FD5" i="3"/>
  <c r="G7" i="3"/>
  <c r="AW7" i="3"/>
  <c r="AY7" i="3" s="1"/>
  <c r="CG7" i="3"/>
  <c r="EC7" i="3"/>
  <c r="DB7" i="3"/>
  <c r="ED7" i="3"/>
  <c r="M7" i="3"/>
  <c r="O7" i="3" s="1"/>
  <c r="CF7" i="3"/>
  <c r="CH7" i="3" s="1"/>
  <c r="FK5" i="3"/>
  <c r="BZ7" i="3"/>
  <c r="DU6" i="3"/>
  <c r="N7" i="3"/>
  <c r="P7" i="3" s="1"/>
  <c r="BD7" i="3"/>
  <c r="BF7" i="3" s="1"/>
  <c r="CM7" i="3"/>
  <c r="CO7" i="3" s="1"/>
  <c r="EJ7" i="3"/>
  <c r="EK7" i="3" s="1"/>
  <c r="EP6" i="3"/>
  <c r="EI5" i="3"/>
  <c r="EB5" i="3"/>
  <c r="EB6" i="3"/>
  <c r="DU5" i="3"/>
  <c r="DN6" i="3"/>
  <c r="DN7" i="3"/>
  <c r="DP7" i="3" s="1"/>
  <c r="CZ6" i="3"/>
  <c r="CZ5" i="3"/>
  <c r="CS6" i="3"/>
  <c r="CS5" i="3"/>
  <c r="CL7" i="3"/>
  <c r="BX6" i="3"/>
  <c r="BX5" i="3"/>
  <c r="BJ6" i="3"/>
  <c r="AV5" i="3"/>
  <c r="AV6" i="3"/>
  <c r="AH7" i="3"/>
  <c r="AJ7" i="3" s="1"/>
  <c r="AH6" i="3"/>
  <c r="AA5" i="3"/>
  <c r="AA7" i="3"/>
  <c r="AD7" i="3"/>
  <c r="AK7" i="3"/>
  <c r="DQ7" i="3"/>
  <c r="BT7" i="3"/>
  <c r="CV7" i="3"/>
  <c r="DX7" i="3"/>
  <c r="CA7" i="3"/>
  <c r="DC7" i="3"/>
  <c r="EE7" i="3"/>
  <c r="DJ7" i="3"/>
  <c r="I7" i="3"/>
  <c r="C16" i="3"/>
  <c r="C17" i="3"/>
  <c r="U5" i="2"/>
  <c r="W5" i="2" s="1"/>
  <c r="W10" i="2" s="1"/>
  <c r="W12" i="2" s="1"/>
  <c r="F5" i="2"/>
  <c r="H5" i="2" s="1"/>
  <c r="P5" i="2"/>
  <c r="P10" i="2" s="1"/>
  <c r="P12" i="2" s="1"/>
  <c r="C17" i="2"/>
  <c r="N6" i="2" s="1"/>
  <c r="P6" i="2" s="1"/>
  <c r="T5" i="2"/>
  <c r="M6" i="2"/>
  <c r="B12" i="1"/>
  <c r="B14" i="1" s="1"/>
  <c r="O5" i="2"/>
  <c r="I6" i="2"/>
  <c r="F7" i="2"/>
  <c r="H7" i="2" s="1"/>
  <c r="H6" i="2"/>
  <c r="I5" i="2"/>
  <c r="I10" i="2" s="1"/>
  <c r="I12" i="2" s="1"/>
  <c r="I7" i="2"/>
  <c r="W6" i="1"/>
  <c r="T6" i="1"/>
  <c r="V6" i="1" s="1"/>
  <c r="W7" i="1"/>
  <c r="W5" i="1"/>
  <c r="W8" i="1" s="1"/>
  <c r="T7" i="1"/>
  <c r="V7" i="1" s="1"/>
  <c r="ES8" i="1"/>
  <c r="EK5" i="1"/>
  <c r="DN5" i="1"/>
  <c r="EB7" i="1"/>
  <c r="DU7" i="1"/>
  <c r="EC6" i="1"/>
  <c r="EE6" i="1" s="1"/>
  <c r="DN7" i="1"/>
  <c r="DU5" i="1"/>
  <c r="DV6" i="1"/>
  <c r="DX6" i="1" s="1"/>
  <c r="DG5" i="1"/>
  <c r="DO6" i="1"/>
  <c r="DQ6" i="1" s="1"/>
  <c r="DG7" i="1"/>
  <c r="CZ7" i="1"/>
  <c r="DH6" i="1"/>
  <c r="DJ6" i="1" s="1"/>
  <c r="DA6" i="1"/>
  <c r="DC6" i="1" s="1"/>
  <c r="CZ5" i="1"/>
  <c r="CS7" i="1"/>
  <c r="CS5" i="1"/>
  <c r="CT6" i="1"/>
  <c r="CV6" i="1" s="1"/>
  <c r="CL7" i="1"/>
  <c r="CM6" i="1"/>
  <c r="CO6" i="1" s="1"/>
  <c r="CL5" i="1"/>
  <c r="CE7" i="1"/>
  <c r="CF6" i="1"/>
  <c r="CH6" i="1" s="1"/>
  <c r="CE5" i="1"/>
  <c r="BX6" i="1"/>
  <c r="BX5" i="1"/>
  <c r="BY6" i="1"/>
  <c r="CA6" i="1" s="1"/>
  <c r="BQ7" i="1"/>
  <c r="BQ5" i="1"/>
  <c r="BR6" i="1"/>
  <c r="BT6" i="1" s="1"/>
  <c r="BJ7" i="1"/>
  <c r="BJ5" i="1"/>
  <c r="BK6" i="1"/>
  <c r="BM6" i="1" s="1"/>
  <c r="BC7" i="1"/>
  <c r="BD6" i="1"/>
  <c r="BF6" i="1" s="1"/>
  <c r="AK6" i="1"/>
  <c r="BC5" i="1"/>
  <c r="AP6" i="1"/>
  <c r="AR6" i="1" s="1"/>
  <c r="AV7" i="1"/>
  <c r="AW6" i="1"/>
  <c r="AY6" i="1" s="1"/>
  <c r="AV6" i="1"/>
  <c r="AO7" i="1"/>
  <c r="AO6" i="1"/>
  <c r="AJ6" i="1"/>
  <c r="AH5" i="1"/>
  <c r="AH7" i="1"/>
  <c r="C18" i="1"/>
  <c r="N6" i="1"/>
  <c r="P6" i="1" s="1"/>
  <c r="M6" i="1"/>
  <c r="C16" i="1"/>
  <c r="EC5" i="1" s="1"/>
  <c r="EE5" i="1" s="1"/>
  <c r="M7" i="1"/>
  <c r="F7" i="1"/>
  <c r="G6" i="1"/>
  <c r="H6" i="1" s="1"/>
  <c r="F5" i="1"/>
  <c r="DH5" i="8" l="1"/>
  <c r="DJ5" i="8" s="1"/>
  <c r="DJ10" i="8" s="1"/>
  <c r="DJ12" i="8" s="1"/>
  <c r="CF5" i="8"/>
  <c r="CH5" i="8" s="1"/>
  <c r="CH10" i="8" s="1"/>
  <c r="CH12" i="8" s="1"/>
  <c r="DW7" i="8"/>
  <c r="O7" i="8"/>
  <c r="BD5" i="8"/>
  <c r="BF5" i="8" s="1"/>
  <c r="BF10" i="8" s="1"/>
  <c r="BF12" i="8" s="1"/>
  <c r="CG5" i="8"/>
  <c r="AC5" i="8"/>
  <c r="CU7" i="8"/>
  <c r="BZ6" i="8"/>
  <c r="DV6" i="8"/>
  <c r="CF6" i="8"/>
  <c r="AP6" i="8"/>
  <c r="DA6" i="8"/>
  <c r="AB6" i="8"/>
  <c r="DO6" i="8"/>
  <c r="BY6" i="8"/>
  <c r="CA6" i="8" s="1"/>
  <c r="AI6" i="8"/>
  <c r="BK6" i="8"/>
  <c r="DH6" i="8"/>
  <c r="BR6" i="8"/>
  <c r="U6" i="8"/>
  <c r="CT6" i="8"/>
  <c r="BD6" i="8"/>
  <c r="EJ6" i="8"/>
  <c r="CM6" i="8"/>
  <c r="AW6" i="8"/>
  <c r="N6" i="8"/>
  <c r="EC6" i="8"/>
  <c r="G6" i="8"/>
  <c r="I6" i="8" s="1"/>
  <c r="BL5" i="8"/>
  <c r="H5" i="8"/>
  <c r="EJ5" i="8"/>
  <c r="EL5" i="8" s="1"/>
  <c r="EL10" i="8" s="1"/>
  <c r="EL12" i="8" s="1"/>
  <c r="CT5" i="8"/>
  <c r="CV5" i="8" s="1"/>
  <c r="CV10" i="8" s="1"/>
  <c r="CV12" i="8" s="1"/>
  <c r="AI5" i="8"/>
  <c r="AK5" i="8" s="1"/>
  <c r="AK10" i="8" s="1"/>
  <c r="AK12" i="8" s="1"/>
  <c r="BR5" i="8"/>
  <c r="BT5" i="8" s="1"/>
  <c r="BT10" i="8" s="1"/>
  <c r="BT12" i="8" s="1"/>
  <c r="EC5" i="8"/>
  <c r="CM5" i="8"/>
  <c r="CO5" i="8" s="1"/>
  <c r="DV5" i="8"/>
  <c r="DX5" i="8" s="1"/>
  <c r="DX10" i="8" s="1"/>
  <c r="DX12" i="8" s="1"/>
  <c r="N5" i="8"/>
  <c r="P5" i="8" s="1"/>
  <c r="P10" i="8" s="1"/>
  <c r="P12" i="8" s="1"/>
  <c r="BY5" i="8"/>
  <c r="U5" i="8"/>
  <c r="DO5" i="8"/>
  <c r="DQ5" i="8" s="1"/>
  <c r="DQ10" i="8" s="1"/>
  <c r="DQ12" i="8" s="1"/>
  <c r="BK5" i="8"/>
  <c r="BM5" i="8" s="1"/>
  <c r="BM10" i="8" s="1"/>
  <c r="BM12" i="8" s="1"/>
  <c r="G5" i="8"/>
  <c r="I5" i="8" s="1"/>
  <c r="I10" i="8" s="1"/>
  <c r="I12" i="8" s="1"/>
  <c r="AW5" i="8"/>
  <c r="DA5" i="8"/>
  <c r="AP5" i="8"/>
  <c r="AR5" i="8" s="1"/>
  <c r="AR10" i="8" s="1"/>
  <c r="AR12" i="8" s="1"/>
  <c r="EK5" i="8"/>
  <c r="CU5" i="8"/>
  <c r="DI5" i="8"/>
  <c r="CG7" i="8"/>
  <c r="AQ7" i="8"/>
  <c r="AC7" i="8"/>
  <c r="EE7" i="8"/>
  <c r="ED7" i="8"/>
  <c r="AY7" i="8"/>
  <c r="AX7" i="8"/>
  <c r="DP7" i="8"/>
  <c r="DC7" i="8"/>
  <c r="DB7" i="8"/>
  <c r="DI7" i="8"/>
  <c r="BE7" i="8"/>
  <c r="BZ7" i="8"/>
  <c r="CA7" i="8"/>
  <c r="H7" i="8"/>
  <c r="W7" i="8"/>
  <c r="V7" i="8"/>
  <c r="BL7" i="8"/>
  <c r="EK7" i="8"/>
  <c r="AJ7" i="8"/>
  <c r="AJ5" i="2"/>
  <c r="BS5" i="2"/>
  <c r="EL5" i="2"/>
  <c r="EL10" i="2" s="1"/>
  <c r="EL12" i="2" s="1"/>
  <c r="DB5" i="2"/>
  <c r="BZ5" i="2"/>
  <c r="AK8" i="5"/>
  <c r="AK10" i="5"/>
  <c r="AK12" i="5" s="1"/>
  <c r="ES8" i="5"/>
  <c r="ES10" i="5"/>
  <c r="ES12" i="5" s="1"/>
  <c r="BF10" i="5"/>
  <c r="BF12" i="5" s="1"/>
  <c r="BF8" i="5"/>
  <c r="I10" i="5"/>
  <c r="I12" i="5" s="1"/>
  <c r="I8" i="5"/>
  <c r="P8" i="5"/>
  <c r="P10" i="5"/>
  <c r="P12" i="5" s="1"/>
  <c r="I6" i="5"/>
  <c r="CH7" i="5"/>
  <c r="DJ10" i="5"/>
  <c r="DJ12" i="5" s="1"/>
  <c r="ER5" i="5"/>
  <c r="CN5" i="5"/>
  <c r="CU7" i="5"/>
  <c r="BE5" i="5"/>
  <c r="DX10" i="5"/>
  <c r="DX12" i="5" s="1"/>
  <c r="DB7" i="5"/>
  <c r="FG6" i="5"/>
  <c r="O6" i="5"/>
  <c r="CH8" i="5"/>
  <c r="BL5" i="5"/>
  <c r="ED5" i="5"/>
  <c r="BM8" i="5"/>
  <c r="H5" i="5"/>
  <c r="BE6" i="5"/>
  <c r="BZ7" i="5"/>
  <c r="CO8" i="5"/>
  <c r="CA8" i="5"/>
  <c r="DW5" i="5"/>
  <c r="O5" i="5"/>
  <c r="GB8" i="5"/>
  <c r="ED7" i="5"/>
  <c r="FG8" i="5"/>
  <c r="FU8" i="5"/>
  <c r="GI8" i="5"/>
  <c r="CH10" i="5"/>
  <c r="CH12" i="5" s="1"/>
  <c r="B12" i="5"/>
  <c r="AD5" i="4"/>
  <c r="O5" i="4"/>
  <c r="ER5" i="4"/>
  <c r="V5" i="4"/>
  <c r="CN5" i="4"/>
  <c r="BZ5" i="4"/>
  <c r="DP6" i="4"/>
  <c r="ED5" i="4"/>
  <c r="CG6" i="4"/>
  <c r="EC6" i="4"/>
  <c r="BR6" i="4"/>
  <c r="BT6" i="4" s="1"/>
  <c r="BT8" i="4" s="1"/>
  <c r="N6" i="4"/>
  <c r="P6" i="4" s="1"/>
  <c r="BD6" i="4"/>
  <c r="BF6" i="4" s="1"/>
  <c r="DA6" i="4"/>
  <c r="CT6" i="4"/>
  <c r="AP6" i="4"/>
  <c r="G6" i="4"/>
  <c r="I6" i="4" s="1"/>
  <c r="EX6" i="4"/>
  <c r="FE6" i="4"/>
  <c r="DV6" i="4"/>
  <c r="DX6" i="4" s="1"/>
  <c r="BK6" i="4"/>
  <c r="BM6" i="4" s="1"/>
  <c r="BM8" i="4" s="1"/>
  <c r="DO6" i="4"/>
  <c r="DQ6" i="4" s="1"/>
  <c r="DQ8" i="4" s="1"/>
  <c r="CM6" i="4"/>
  <c r="AI6" i="4"/>
  <c r="EJ6" i="4"/>
  <c r="EL6" i="4" s="1"/>
  <c r="DH6" i="4"/>
  <c r="DJ6" i="4" s="1"/>
  <c r="CF6" i="4"/>
  <c r="CH6" i="4" s="1"/>
  <c r="AB6" i="4"/>
  <c r="AD6" i="4" s="1"/>
  <c r="EQ6" i="4"/>
  <c r="ES6" i="4" s="1"/>
  <c r="BY6" i="4"/>
  <c r="AW6" i="4"/>
  <c r="U6" i="4"/>
  <c r="DV7" i="4"/>
  <c r="CM7" i="4"/>
  <c r="CO7" i="4" s="1"/>
  <c r="BD7" i="4"/>
  <c r="N7" i="4"/>
  <c r="EJ7" i="4"/>
  <c r="AI7" i="4"/>
  <c r="CT7" i="4"/>
  <c r="DO7" i="4"/>
  <c r="DQ7" i="4" s="1"/>
  <c r="AW7" i="4"/>
  <c r="G7" i="4"/>
  <c r="I7" i="4" s="1"/>
  <c r="EX7" i="4"/>
  <c r="EZ7" i="4" s="1"/>
  <c r="CF7" i="4"/>
  <c r="AP7" i="4"/>
  <c r="EQ7" i="4"/>
  <c r="DH7" i="4"/>
  <c r="BY7" i="4"/>
  <c r="FE7" i="4"/>
  <c r="DA7" i="4"/>
  <c r="BR7" i="4"/>
  <c r="BT7" i="4" s="1"/>
  <c r="AB7" i="4"/>
  <c r="AD7" i="4" s="1"/>
  <c r="EC7" i="4"/>
  <c r="BK7" i="4"/>
  <c r="BM7" i="4" s="1"/>
  <c r="U7" i="4"/>
  <c r="DW5" i="4"/>
  <c r="AC7" i="4"/>
  <c r="H7" i="4"/>
  <c r="EY7" i="4"/>
  <c r="AX5" i="4"/>
  <c r="I8" i="4"/>
  <c r="AR5" i="2"/>
  <c r="AR10" i="2" s="1"/>
  <c r="AR12" i="2" s="1"/>
  <c r="B12" i="2" s="1"/>
  <c r="B14" i="2" s="1"/>
  <c r="CG5" i="2"/>
  <c r="CN5" i="2"/>
  <c r="DI5" i="2"/>
  <c r="AC5" i="2"/>
  <c r="DW5" i="2"/>
  <c r="DP5" i="2"/>
  <c r="O6" i="2"/>
  <c r="ER5" i="2"/>
  <c r="AX5" i="2"/>
  <c r="N7" i="2"/>
  <c r="EC7" i="2"/>
  <c r="EE7" i="2" s="1"/>
  <c r="DV7" i="2"/>
  <c r="CM7" i="2"/>
  <c r="BK7" i="2"/>
  <c r="BM7" i="2" s="1"/>
  <c r="DH7" i="2"/>
  <c r="AW7" i="2"/>
  <c r="AY7" i="2" s="1"/>
  <c r="DO7" i="2"/>
  <c r="BD7" i="2"/>
  <c r="EQ7" i="2"/>
  <c r="CF7" i="2"/>
  <c r="EJ7" i="2"/>
  <c r="AI7" i="2"/>
  <c r="AK7" i="2" s="1"/>
  <c r="DA7" i="2"/>
  <c r="DC7" i="2" s="1"/>
  <c r="BY7" i="2"/>
  <c r="CA7" i="2" s="1"/>
  <c r="AB7" i="2"/>
  <c r="AP7" i="2"/>
  <c r="AR7" i="2" s="1"/>
  <c r="CT7" i="2"/>
  <c r="CV7" i="2" s="1"/>
  <c r="BR7" i="2"/>
  <c r="U7" i="2"/>
  <c r="V7" i="2" s="1"/>
  <c r="V5" i="2"/>
  <c r="U6" i="2"/>
  <c r="DO6" i="2"/>
  <c r="DQ6" i="2" s="1"/>
  <c r="AB6" i="2"/>
  <c r="CT6" i="2"/>
  <c r="EQ6" i="2"/>
  <c r="BY6" i="2"/>
  <c r="AP6" i="2"/>
  <c r="AR6" i="2" s="1"/>
  <c r="EC6" i="2"/>
  <c r="DH6" i="2"/>
  <c r="BR6" i="2"/>
  <c r="EJ6" i="2"/>
  <c r="DA6" i="2"/>
  <c r="DC6" i="2" s="1"/>
  <c r="BK6" i="2"/>
  <c r="DV6" i="2"/>
  <c r="CM6" i="2"/>
  <c r="BD6" i="2"/>
  <c r="AI6" i="2"/>
  <c r="AK6" i="2" s="1"/>
  <c r="AK8" i="2" s="1"/>
  <c r="AW6" i="2"/>
  <c r="AY6" i="2" s="1"/>
  <c r="CF6" i="2"/>
  <c r="AC7" i="3"/>
  <c r="CN7" i="3"/>
  <c r="ES7" i="3"/>
  <c r="BL7" i="3"/>
  <c r="BE7" i="3"/>
  <c r="AJ6" i="3"/>
  <c r="ED5" i="3"/>
  <c r="AX5" i="3"/>
  <c r="AX7" i="3"/>
  <c r="FM7" i="3"/>
  <c r="AQ7" i="3"/>
  <c r="EL7" i="3"/>
  <c r="DW6" i="3"/>
  <c r="CF6" i="3"/>
  <c r="AW6" i="3"/>
  <c r="AY6" i="3" s="1"/>
  <c r="FL6" i="3"/>
  <c r="DO6" i="3"/>
  <c r="DQ6" i="3" s="1"/>
  <c r="AP6" i="3"/>
  <c r="G6" i="3"/>
  <c r="DH6" i="3"/>
  <c r="BY6" i="3"/>
  <c r="CA6" i="3" s="1"/>
  <c r="BR6" i="3"/>
  <c r="AI6" i="3"/>
  <c r="AK6" i="3" s="1"/>
  <c r="EQ6" i="3"/>
  <c r="ES6" i="3" s="1"/>
  <c r="AB6" i="3"/>
  <c r="EC6" i="3"/>
  <c r="EE6" i="3" s="1"/>
  <c r="EE8" i="3" s="1"/>
  <c r="BD6" i="3"/>
  <c r="FE6" i="3"/>
  <c r="DA6" i="3"/>
  <c r="DC6" i="3" s="1"/>
  <c r="EX6" i="3"/>
  <c r="EJ6" i="3"/>
  <c r="CT6" i="3"/>
  <c r="CV6" i="3" s="1"/>
  <c r="BK6" i="3"/>
  <c r="BM6" i="3" s="1"/>
  <c r="U6" i="3"/>
  <c r="DV6" i="3"/>
  <c r="DX6" i="3" s="1"/>
  <c r="N6" i="3"/>
  <c r="CM6" i="3"/>
  <c r="DH5" i="3"/>
  <c r="BR5" i="3"/>
  <c r="AI5" i="3"/>
  <c r="AB5" i="3"/>
  <c r="AD5" i="3" s="1"/>
  <c r="CM5" i="3"/>
  <c r="FE5" i="3"/>
  <c r="FG5" i="3" s="1"/>
  <c r="DA5" i="3"/>
  <c r="DC5" i="3" s="1"/>
  <c r="BK5" i="3"/>
  <c r="U5" i="3"/>
  <c r="W5" i="3" s="1"/>
  <c r="EX5" i="3"/>
  <c r="EQ5" i="3"/>
  <c r="CT5" i="3"/>
  <c r="CV5" i="3" s="1"/>
  <c r="CV8" i="3" s="1"/>
  <c r="BD5" i="3"/>
  <c r="N5" i="3"/>
  <c r="DV5" i="3"/>
  <c r="DX5" i="3" s="1"/>
  <c r="DX8" i="3" s="1"/>
  <c r="G5" i="3"/>
  <c r="I5" i="3" s="1"/>
  <c r="EC5" i="3"/>
  <c r="EE5" i="3" s="1"/>
  <c r="CF5" i="3"/>
  <c r="AW5" i="3"/>
  <c r="AY5" i="3" s="1"/>
  <c r="FL5" i="3"/>
  <c r="FN5" i="3" s="1"/>
  <c r="DO5" i="3"/>
  <c r="BY5" i="3"/>
  <c r="CA5" i="3" s="1"/>
  <c r="EJ5" i="3"/>
  <c r="EL5" i="3" s="1"/>
  <c r="AP5" i="3"/>
  <c r="AY8" i="3"/>
  <c r="DV7" i="1"/>
  <c r="EC7" i="1"/>
  <c r="EE7" i="1" s="1"/>
  <c r="EE8" i="1" s="1"/>
  <c r="ED5" i="1"/>
  <c r="ED6" i="1"/>
  <c r="DW7" i="1"/>
  <c r="DX7" i="1"/>
  <c r="DO5" i="1"/>
  <c r="DQ5" i="1" s="1"/>
  <c r="DV5" i="1"/>
  <c r="DW6" i="1"/>
  <c r="DP5" i="1"/>
  <c r="DH7" i="1"/>
  <c r="DJ7" i="1" s="1"/>
  <c r="DO7" i="1"/>
  <c r="DI6" i="1"/>
  <c r="DP6" i="1"/>
  <c r="DA5" i="1"/>
  <c r="DC5" i="1" s="1"/>
  <c r="DH5" i="1"/>
  <c r="CT7" i="1"/>
  <c r="CV7" i="1" s="1"/>
  <c r="DA7" i="1"/>
  <c r="DB6" i="1"/>
  <c r="CM5" i="1"/>
  <c r="CO5" i="1" s="1"/>
  <c r="CT5" i="1"/>
  <c r="CV5" i="1" s="1"/>
  <c r="CU6" i="1"/>
  <c r="CF7" i="1"/>
  <c r="CH7" i="1" s="1"/>
  <c r="CM7" i="1"/>
  <c r="CO7" i="1" s="1"/>
  <c r="CN6" i="1"/>
  <c r="BY5" i="1"/>
  <c r="CA5" i="1" s="1"/>
  <c r="CF5" i="1"/>
  <c r="CH5" i="1" s="1"/>
  <c r="AX6" i="1"/>
  <c r="BZ6" i="1"/>
  <c r="CG6" i="1"/>
  <c r="BR7" i="1"/>
  <c r="BT7" i="1" s="1"/>
  <c r="BY7" i="1"/>
  <c r="BL6" i="1"/>
  <c r="O6" i="1"/>
  <c r="BK5" i="1"/>
  <c r="BR5" i="1"/>
  <c r="BS6" i="1"/>
  <c r="BD7" i="1"/>
  <c r="BF7" i="1" s="1"/>
  <c r="BK7" i="1"/>
  <c r="BM7" i="1" s="1"/>
  <c r="AW5" i="1"/>
  <c r="AY5" i="1" s="1"/>
  <c r="BD5" i="1"/>
  <c r="AQ6" i="1"/>
  <c r="BE6" i="1"/>
  <c r="AP7" i="1"/>
  <c r="AQ7" i="1" s="1"/>
  <c r="AW7" i="1"/>
  <c r="AY7" i="1" s="1"/>
  <c r="AI5" i="1"/>
  <c r="AK5" i="1" s="1"/>
  <c r="AP5" i="1"/>
  <c r="G7" i="1"/>
  <c r="I7" i="1" s="1"/>
  <c r="N7" i="1"/>
  <c r="AI7" i="1"/>
  <c r="G5" i="1"/>
  <c r="I5" i="1" s="1"/>
  <c r="N5" i="1"/>
  <c r="O5" i="1" s="1"/>
  <c r="I6" i="1"/>
  <c r="H6" i="8" l="1"/>
  <c r="O5" i="8"/>
  <c r="DW5" i="8"/>
  <c r="I8" i="8"/>
  <c r="BE5" i="8"/>
  <c r="AX5" i="8"/>
  <c r="AY5" i="8"/>
  <c r="AY10" i="8" s="1"/>
  <c r="AY12" i="8" s="1"/>
  <c r="CO10" i="8"/>
  <c r="CO12" i="8" s="1"/>
  <c r="BE6" i="8"/>
  <c r="BF6" i="8"/>
  <c r="BF8" i="8" s="1"/>
  <c r="DQ6" i="8"/>
  <c r="DQ8" i="8" s="1"/>
  <c r="DP6" i="8"/>
  <c r="AJ5" i="8"/>
  <c r="EE5" i="8"/>
  <c r="EE10" i="8" s="1"/>
  <c r="EE12" i="8" s="1"/>
  <c r="ED5" i="8"/>
  <c r="CV6" i="8"/>
  <c r="CV8" i="8" s="1"/>
  <c r="CU6" i="8"/>
  <c r="AC6" i="8"/>
  <c r="AD6" i="8"/>
  <c r="AD8" i="8" s="1"/>
  <c r="W6" i="8"/>
  <c r="V6" i="8"/>
  <c r="DC6" i="8"/>
  <c r="DB6" i="8"/>
  <c r="ED6" i="8"/>
  <c r="EE6" i="8"/>
  <c r="AQ6" i="8"/>
  <c r="AR6" i="8"/>
  <c r="AR8" i="8" s="1"/>
  <c r="W5" i="8"/>
  <c r="W10" i="8" s="1"/>
  <c r="W12" i="8" s="1"/>
  <c r="V5" i="8"/>
  <c r="P6" i="8"/>
  <c r="P8" i="8" s="1"/>
  <c r="O6" i="8"/>
  <c r="DJ6" i="8"/>
  <c r="DJ8" i="8" s="1"/>
  <c r="DI6" i="8"/>
  <c r="CG6" i="8"/>
  <c r="CH6" i="8"/>
  <c r="CH8" i="8" s="1"/>
  <c r="BZ5" i="8"/>
  <c r="CA5" i="8"/>
  <c r="CA10" i="8" s="1"/>
  <c r="CA12" i="8" s="1"/>
  <c r="AX6" i="8"/>
  <c r="AY6" i="8"/>
  <c r="AY8" i="8" s="1"/>
  <c r="BL6" i="8"/>
  <c r="BM6" i="8"/>
  <c r="BM8" i="8" s="1"/>
  <c r="DX6" i="8"/>
  <c r="DW6" i="8"/>
  <c r="BT6" i="8"/>
  <c r="BT8" i="8" s="1"/>
  <c r="BS6" i="8"/>
  <c r="EE8" i="8"/>
  <c r="DP5" i="8"/>
  <c r="CO6" i="8"/>
  <c r="CO8" i="8" s="1"/>
  <c r="CN6" i="8"/>
  <c r="AK6" i="8"/>
  <c r="AK8" i="8" s="1"/>
  <c r="AJ6" i="8"/>
  <c r="DX8" i="8"/>
  <c r="CN5" i="8"/>
  <c r="DB5" i="8"/>
  <c r="DC5" i="8"/>
  <c r="DC10" i="8" s="1"/>
  <c r="DC12" i="8" s="1"/>
  <c r="AQ5" i="8"/>
  <c r="EL6" i="8"/>
  <c r="EL8" i="8" s="1"/>
  <c r="EK6" i="8"/>
  <c r="BS5" i="8"/>
  <c r="B14" i="5"/>
  <c r="D10" i="6" s="1"/>
  <c r="B10" i="6"/>
  <c r="W7" i="2"/>
  <c r="AR8" i="2"/>
  <c r="DW6" i="4"/>
  <c r="BS6" i="4"/>
  <c r="DI6" i="4"/>
  <c r="H6" i="4"/>
  <c r="P8" i="4"/>
  <c r="DX8" i="4"/>
  <c r="AR7" i="4"/>
  <c r="AQ7" i="4"/>
  <c r="CH7" i="4"/>
  <c r="CG7" i="4"/>
  <c r="O7" i="4"/>
  <c r="P7" i="4"/>
  <c r="DP7" i="4"/>
  <c r="BF7" i="4"/>
  <c r="BF8" i="4" s="1"/>
  <c r="BE7" i="4"/>
  <c r="CH8" i="4"/>
  <c r="FG6" i="4"/>
  <c r="FF6" i="4"/>
  <c r="AD8" i="4"/>
  <c r="AC6" i="4"/>
  <c r="BE6" i="4"/>
  <c r="DC7" i="4"/>
  <c r="DB7" i="4"/>
  <c r="DJ8" i="4"/>
  <c r="EZ6" i="4"/>
  <c r="EZ8" i="4" s="1"/>
  <c r="EY6" i="4"/>
  <c r="EE6" i="4"/>
  <c r="ED6" i="4"/>
  <c r="EK6" i="4"/>
  <c r="FG7" i="4"/>
  <c r="FF7" i="4"/>
  <c r="BZ7" i="4"/>
  <c r="CA7" i="4"/>
  <c r="W6" i="4"/>
  <c r="W8" i="4" s="1"/>
  <c r="V6" i="4"/>
  <c r="AR6" i="4"/>
  <c r="AQ6" i="4"/>
  <c r="ER6" i="4"/>
  <c r="CN7" i="4"/>
  <c r="W7" i="4"/>
  <c r="V7" i="4"/>
  <c r="DJ7" i="4"/>
  <c r="DI7" i="4"/>
  <c r="CV7" i="4"/>
  <c r="CU7" i="4"/>
  <c r="AY6" i="4"/>
  <c r="AX6" i="4"/>
  <c r="CO6" i="4"/>
  <c r="CO8" i="4" s="1"/>
  <c r="CN6" i="4"/>
  <c r="CU6" i="4"/>
  <c r="CV6" i="4"/>
  <c r="BL6" i="4"/>
  <c r="BL7" i="4"/>
  <c r="EE7" i="4"/>
  <c r="ED7" i="4"/>
  <c r="EK7" i="4"/>
  <c r="EL7" i="4"/>
  <c r="EL8" i="4" s="1"/>
  <c r="AY7" i="4"/>
  <c r="AX7" i="4"/>
  <c r="DX7" i="4"/>
  <c r="DW7" i="4"/>
  <c r="AK6" i="4"/>
  <c r="AK8" i="4" s="1"/>
  <c r="AJ6" i="4"/>
  <c r="BS7" i="4"/>
  <c r="ER7" i="4"/>
  <c r="ES7" i="4"/>
  <c r="ES8" i="4" s="1"/>
  <c r="AJ7" i="4"/>
  <c r="AK7" i="4"/>
  <c r="BZ6" i="4"/>
  <c r="CA6" i="4"/>
  <c r="CA8" i="4" s="1"/>
  <c r="DC6" i="4"/>
  <c r="DC8" i="4" s="1"/>
  <c r="DB6" i="4"/>
  <c r="O6" i="4"/>
  <c r="AJ7" i="2"/>
  <c r="AX6" i="2"/>
  <c r="CU7" i="2"/>
  <c r="AQ7" i="2"/>
  <c r="AQ6" i="2"/>
  <c r="DC8" i="2"/>
  <c r="DW6" i="2"/>
  <c r="DX6" i="2"/>
  <c r="AX7" i="2"/>
  <c r="BM6" i="2"/>
  <c r="BM8" i="2" s="1"/>
  <c r="BL6" i="2"/>
  <c r="ES6" i="2"/>
  <c r="ER6" i="2"/>
  <c r="DJ7" i="2"/>
  <c r="DI7" i="2"/>
  <c r="DB6" i="2"/>
  <c r="CA6" i="2"/>
  <c r="CA8" i="2" s="1"/>
  <c r="BZ6" i="2"/>
  <c r="CV6" i="2"/>
  <c r="CV8" i="2" s="1"/>
  <c r="CU6" i="2"/>
  <c r="AY8" i="2"/>
  <c r="BT6" i="2"/>
  <c r="BS6" i="2"/>
  <c r="BT7" i="2"/>
  <c r="BS7" i="2"/>
  <c r="CG7" i="2"/>
  <c r="CH7" i="2"/>
  <c r="DX7" i="2"/>
  <c r="DW7" i="2"/>
  <c r="CG6" i="2"/>
  <c r="CH6" i="2"/>
  <c r="CO7" i="2"/>
  <c r="CN7" i="2"/>
  <c r="DJ6" i="2"/>
  <c r="DI6" i="2"/>
  <c r="W6" i="2"/>
  <c r="V6" i="2"/>
  <c r="AJ6" i="2"/>
  <c r="DP6" i="2"/>
  <c r="EK6" i="2"/>
  <c r="EL6" i="2"/>
  <c r="EK7" i="2"/>
  <c r="EL7" i="2"/>
  <c r="BZ7" i="2"/>
  <c r="ES7" i="2"/>
  <c r="ER7" i="2"/>
  <c r="BF6" i="2"/>
  <c r="BE6" i="2"/>
  <c r="ED6" i="2"/>
  <c r="EE6" i="2"/>
  <c r="EE8" i="2" s="1"/>
  <c r="BF7" i="2"/>
  <c r="BE7" i="2"/>
  <c r="O7" i="2"/>
  <c r="P7" i="2"/>
  <c r="AD6" i="2"/>
  <c r="AC6" i="2"/>
  <c r="CO6" i="2"/>
  <c r="CN6" i="2"/>
  <c r="ED7" i="2"/>
  <c r="AD7" i="2"/>
  <c r="AC7" i="2"/>
  <c r="DQ7" i="2"/>
  <c r="DQ8" i="2" s="1"/>
  <c r="DP7" i="2"/>
  <c r="BL7" i="2"/>
  <c r="DB7" i="2"/>
  <c r="ER6" i="3"/>
  <c r="FF5" i="3"/>
  <c r="V5" i="3"/>
  <c r="I8" i="3"/>
  <c r="BL5" i="3"/>
  <c r="BM5" i="3"/>
  <c r="BM8" i="3" s="1"/>
  <c r="CN6" i="3"/>
  <c r="CO6" i="3"/>
  <c r="DC8" i="3"/>
  <c r="P6" i="3"/>
  <c r="O6" i="3"/>
  <c r="FF6" i="3"/>
  <c r="FG6" i="3"/>
  <c r="DJ6" i="3"/>
  <c r="DI6" i="3"/>
  <c r="DP6" i="3"/>
  <c r="BZ5" i="3"/>
  <c r="DB5" i="3"/>
  <c r="AQ5" i="3"/>
  <c r="AR5" i="3"/>
  <c r="AR8" i="3" s="1"/>
  <c r="CA8" i="3"/>
  <c r="P5" i="3"/>
  <c r="O5" i="3"/>
  <c r="FG8" i="3"/>
  <c r="BF6" i="3"/>
  <c r="BE6" i="3"/>
  <c r="I6" i="3"/>
  <c r="H6" i="3"/>
  <c r="BZ6" i="3"/>
  <c r="CU5" i="3"/>
  <c r="BF5" i="3"/>
  <c r="BE5" i="3"/>
  <c r="W6" i="3"/>
  <c r="W8" i="3" s="1"/>
  <c r="V6" i="3"/>
  <c r="AR6" i="3"/>
  <c r="AQ6" i="3"/>
  <c r="DB6" i="3"/>
  <c r="DW5" i="3"/>
  <c r="ES5" i="3"/>
  <c r="ES8" i="3" s="1"/>
  <c r="ER5" i="3"/>
  <c r="AK5" i="3"/>
  <c r="AK8" i="3" s="1"/>
  <c r="AJ5" i="3"/>
  <c r="FN6" i="3"/>
  <c r="FM6" i="3"/>
  <c r="FM5" i="3"/>
  <c r="CU6" i="3"/>
  <c r="DP5" i="3"/>
  <c r="DQ5" i="3"/>
  <c r="DQ8" i="3" s="1"/>
  <c r="AC6" i="3"/>
  <c r="AD6" i="3"/>
  <c r="AD8" i="3" s="1"/>
  <c r="AC5" i="3"/>
  <c r="CH5" i="3"/>
  <c r="CG5" i="3"/>
  <c r="EZ5" i="3"/>
  <c r="EZ8" i="3" s="1"/>
  <c r="EY5" i="3"/>
  <c r="BS5" i="3"/>
  <c r="BT5" i="3"/>
  <c r="EK6" i="3"/>
  <c r="EL6" i="3"/>
  <c r="EL8" i="3" s="1"/>
  <c r="EK5" i="3"/>
  <c r="AX6" i="3"/>
  <c r="CN5" i="3"/>
  <c r="CO5" i="3"/>
  <c r="CO8" i="3" s="1"/>
  <c r="ED6" i="3"/>
  <c r="DJ5" i="3"/>
  <c r="DJ8" i="3" s="1"/>
  <c r="DI5" i="3"/>
  <c r="EZ6" i="3"/>
  <c r="EY6" i="3"/>
  <c r="BT6" i="3"/>
  <c r="BS6" i="3"/>
  <c r="CH6" i="3"/>
  <c r="CG6" i="3"/>
  <c r="BL6" i="3"/>
  <c r="H5" i="3"/>
  <c r="ED7" i="1"/>
  <c r="DI7" i="1"/>
  <c r="DX5" i="1"/>
  <c r="DX8" i="1" s="1"/>
  <c r="DW5" i="1"/>
  <c r="DB5" i="1"/>
  <c r="DQ7" i="1"/>
  <c r="DQ8" i="1" s="1"/>
  <c r="DP7" i="1"/>
  <c r="CV8" i="1"/>
  <c r="DJ5" i="1"/>
  <c r="DJ8" i="1" s="1"/>
  <c r="DI5" i="1"/>
  <c r="CU7" i="1"/>
  <c r="CU5" i="1"/>
  <c r="CO8" i="1"/>
  <c r="CN5" i="1"/>
  <c r="DC7" i="1"/>
  <c r="DC8" i="1" s="1"/>
  <c r="DB7" i="1"/>
  <c r="CH8" i="1"/>
  <c r="AY8" i="1"/>
  <c r="CN7" i="1"/>
  <c r="BE7" i="1"/>
  <c r="CG7" i="1"/>
  <c r="CG5" i="1"/>
  <c r="BS7" i="1"/>
  <c r="BZ5" i="1"/>
  <c r="CA7" i="1"/>
  <c r="CA8" i="1" s="1"/>
  <c r="BZ7" i="1"/>
  <c r="AX5" i="1"/>
  <c r="AR7" i="1"/>
  <c r="BS5" i="1"/>
  <c r="BT5" i="1"/>
  <c r="BT8" i="1" s="1"/>
  <c r="BM5" i="1"/>
  <c r="BM8" i="1" s="1"/>
  <c r="BL5" i="1"/>
  <c r="BL7" i="1"/>
  <c r="BE5" i="1"/>
  <c r="BF5" i="1"/>
  <c r="BF8" i="1" s="1"/>
  <c r="AX7" i="1"/>
  <c r="P5" i="1"/>
  <c r="AR5" i="1"/>
  <c r="AQ5" i="1"/>
  <c r="H7" i="1"/>
  <c r="AJ5" i="1"/>
  <c r="AJ7" i="1"/>
  <c r="AK7" i="1"/>
  <c r="AK8" i="1" s="1"/>
  <c r="P7" i="1"/>
  <c r="P8" i="1" s="1"/>
  <c r="O7" i="1"/>
  <c r="I8" i="1"/>
  <c r="AD8" i="1"/>
  <c r="H5" i="1"/>
  <c r="B12" i="8" l="1"/>
  <c r="B14" i="8" s="1"/>
  <c r="W8" i="8"/>
  <c r="CA8" i="8"/>
  <c r="DC8" i="8"/>
  <c r="CV8" i="4"/>
  <c r="EE8" i="4"/>
  <c r="FG8" i="4"/>
  <c r="AY8" i="4"/>
  <c r="AR8" i="4"/>
  <c r="BF8" i="2"/>
  <c r="DJ8" i="2"/>
  <c r="CO8" i="2"/>
  <c r="ES8" i="2"/>
  <c r="EL8" i="2"/>
  <c r="DX8" i="2"/>
  <c r="AD8" i="2"/>
  <c r="CH8" i="2"/>
  <c r="BT8" i="2"/>
  <c r="BT8" i="3"/>
  <c r="BF8" i="3"/>
  <c r="CH8" i="3"/>
  <c r="P8" i="3"/>
  <c r="AR8" i="1"/>
</calcChain>
</file>

<file path=xl/sharedStrings.xml><?xml version="1.0" encoding="utf-8"?>
<sst xmlns="http://schemas.openxmlformats.org/spreadsheetml/2006/main" count="1074" uniqueCount="47">
  <si>
    <t>Fecha</t>
  </si>
  <si>
    <t>P&amp;L MWh</t>
  </si>
  <si>
    <t>US$ / MWh</t>
  </si>
  <si>
    <t>P&amp;L US$</t>
  </si>
  <si>
    <t>Observación</t>
  </si>
  <si>
    <t>FECHA</t>
  </si>
  <si>
    <t>GENERADORA</t>
  </si>
  <si>
    <t>POTENCIA ACTIVA
(MW)</t>
  </si>
  <si>
    <t>AUMENTO / DISMINUCION REAL
(MW)</t>
  </si>
  <si>
    <t>NUEVO SET POINT POTENCIA ACTIVA
(MW)</t>
  </si>
  <si>
    <t>% DEL AUMENTO / DISMINUCION DEL TOTAL</t>
  </si>
  <si>
    <t>% DE AUMENTO / DISMINUCION IDEAL</t>
  </si>
  <si>
    <t xml:space="preserve">% DIFERENCIA </t>
  </si>
  <si>
    <t>AUMENTO / DISMINUCION IDEAL
(MW)</t>
  </si>
  <si>
    <t>GEN.ACTUAL</t>
  </si>
  <si>
    <t>MONTO</t>
  </si>
  <si>
    <t>CONSIGNA</t>
  </si>
  <si>
    <t>PFV-ELPELICANO</t>
  </si>
  <si>
    <t>PFV-ELROMERO</t>
  </si>
  <si>
    <t>PFV-LAHUELLA</t>
  </si>
  <si>
    <t>Diferencia Real vs Ideal (MWh)</t>
  </si>
  <si>
    <t>Tiempo entre consignas</t>
  </si>
  <si>
    <t>MWac max de Generación</t>
  </si>
  <si>
    <t>SITE</t>
  </si>
  <si>
    <t>% DEL TOTAL</t>
  </si>
  <si>
    <t>07:26</t>
  </si>
  <si>
    <t>07:39</t>
  </si>
  <si>
    <t>07:44</t>
  </si>
  <si>
    <t>07:49</t>
  </si>
  <si>
    <t>07:52</t>
  </si>
  <si>
    <t>08:16</t>
  </si>
  <si>
    <t>08:21</t>
  </si>
  <si>
    <t>08:28</t>
  </si>
  <si>
    <t>10:03</t>
  </si>
  <si>
    <t>10:32</t>
  </si>
  <si>
    <t>11:57</t>
  </si>
  <si>
    <t>12:13</t>
  </si>
  <si>
    <t>12:31</t>
  </si>
  <si>
    <t>13:32</t>
  </si>
  <si>
    <t>15:12</t>
  </si>
  <si>
    <t>16:52</t>
  </si>
  <si>
    <t>17:01</t>
  </si>
  <si>
    <t>17:22</t>
  </si>
  <si>
    <t>18:59</t>
  </si>
  <si>
    <t>19:05</t>
  </si>
  <si>
    <t>19:08</t>
  </si>
  <si>
    <t>MW ac max de Generación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</si>
</sst>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* #,##0.00_ ;_ &quot;$&quot;* \-#,##0.00_ ;_ &quot;$&quot;* &quot;-&quot;??_ ;_ @_ "/>
    <numFmt numFmtId="165" formatCode="yyyy\-mm\-dd"/>
    <numFmt numFmtId="166" formatCode="0.000000"/>
    <numFmt numFmtId="167" formatCode="mm:ss.0;@"/>
    <numFmt numFmtId="168" formatCode="0.00000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rgb="FF004D56"/>
        <bgColor rgb="FF203864"/>
      </patternFill>
    </fill>
    <fill>
      <patternFill patternType="solid">
        <fgColor rgb="FF004D5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4D56"/>
        <bgColor rgb="FF4472C4"/>
      </patternFill>
    </fill>
    <fill>
      <patternFill patternType="solid">
        <fgColor rgb="FF0099A9"/>
        <bgColor rgb="FF203864"/>
      </patternFill>
    </fill>
    <fill>
      <patternFill patternType="solid">
        <fgColor rgb="FF0099A9"/>
        <bgColor rgb="FF4472C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4" xfId="0" applyBorder="1"/>
    <xf numFmtId="0" fontId="0" fillId="0" borderId="5" xfId="0" applyBorder="1"/>
    <xf numFmtId="0" fontId="3" fillId="3" borderId="1" xfId="0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9" borderId="0" xfId="0" applyFill="1"/>
    <xf numFmtId="0" fontId="0" fillId="12" borderId="5" xfId="0" applyFill="1" applyBorder="1"/>
    <xf numFmtId="20" fontId="0" fillId="0" borderId="0" xfId="0" applyNumberFormat="1"/>
    <xf numFmtId="21" fontId="0" fillId="0" borderId="0" xfId="0" applyNumberFormat="1"/>
    <xf numFmtId="9" fontId="9" fillId="10" borderId="1" xfId="2" applyFont="1" applyFill="1" applyBorder="1" applyAlignment="1">
      <alignment horizontal="center" vertical="center" wrapText="1"/>
    </xf>
    <xf numFmtId="2" fontId="9" fillId="10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9" fontId="0" fillId="14" borderId="1" xfId="2" applyFont="1" applyFill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1" fontId="0" fillId="0" borderId="0" xfId="0" applyNumberFormat="1"/>
    <xf numFmtId="0" fontId="3" fillId="15" borderId="1" xfId="0" applyFont="1" applyFill="1" applyBorder="1" applyAlignment="1">
      <alignment horizontal="center" vertical="center" wrapText="1"/>
    </xf>
    <xf numFmtId="2" fontId="0" fillId="0" borderId="0" xfId="0" applyNumberFormat="1"/>
    <xf numFmtId="166" fontId="0" fillId="0" borderId="0" xfId="0" applyNumberFormat="1"/>
    <xf numFmtId="164" fontId="0" fillId="0" borderId="0" xfId="1" applyFont="1"/>
    <xf numFmtId="2" fontId="0" fillId="0" borderId="0" xfId="0" applyNumberFormat="1" applyAlignment="1">
      <alignment vertical="center" wrapText="1"/>
    </xf>
    <xf numFmtId="167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/>
    </xf>
    <xf numFmtId="16" fontId="0" fillId="9" borderId="0" xfId="0" applyNumberFormat="1" applyFill="1"/>
    <xf numFmtId="164" fontId="0" fillId="9" borderId="0" xfId="1" applyFont="1" applyFill="1"/>
    <xf numFmtId="0" fontId="6" fillId="9" borderId="0" xfId="0" applyFont="1" applyFill="1"/>
    <xf numFmtId="166" fontId="6" fillId="9" borderId="0" xfId="0" applyNumberFormat="1" applyFont="1" applyFill="1"/>
    <xf numFmtId="164" fontId="0" fillId="9" borderId="0" xfId="0" applyNumberFormat="1" applyFill="1"/>
    <xf numFmtId="168" fontId="0" fillId="9" borderId="0" xfId="0" applyNumberFormat="1" applyFill="1"/>
    <xf numFmtId="0" fontId="5" fillId="14" borderId="0" xfId="0" applyFont="1" applyFill="1"/>
    <xf numFmtId="0" fontId="10" fillId="0" borderId="0" xfId="0" applyFont="1"/>
    <xf numFmtId="0" fontId="0" fillId="0" borderId="0" xfId="0" applyAlignment="1">
      <alignment horizontal="left"/>
    </xf>
    <xf numFmtId="21" fontId="2" fillId="11" borderId="2" xfId="0" applyNumberFormat="1" applyFont="1" applyFill="1" applyBorder="1" applyAlignment="1">
      <alignment horizontal="center" vertical="center"/>
    </xf>
    <xf numFmtId="20" fontId="2" fillId="16" borderId="7" xfId="0" applyNumberFormat="1" applyFont="1" applyFill="1" applyBorder="1" applyAlignment="1">
      <alignment horizontal="center" vertical="center"/>
    </xf>
    <xf numFmtId="20" fontId="2" fillId="16" borderId="4" xfId="0" applyNumberFormat="1" applyFont="1" applyFill="1" applyBorder="1" applyAlignment="1">
      <alignment horizontal="center" vertical="center"/>
    </xf>
    <xf numFmtId="20" fontId="2" fillId="16" borderId="5" xfId="0" applyNumberFormat="1" applyFont="1" applyFill="1" applyBorder="1" applyAlignment="1">
      <alignment horizontal="center" vertical="center"/>
    </xf>
    <xf numFmtId="20" fontId="2" fillId="11" borderId="7" xfId="0" applyNumberFormat="1" applyFont="1" applyFill="1" applyBorder="1" applyAlignment="1">
      <alignment horizontal="center" vertical="center"/>
    </xf>
    <xf numFmtId="20" fontId="2" fillId="11" borderId="4" xfId="0" applyNumberFormat="1" applyFont="1" applyFill="1" applyBorder="1" applyAlignment="1">
      <alignment horizontal="center" vertical="center"/>
    </xf>
    <xf numFmtId="20" fontId="2" fillId="11" borderId="5" xfId="0" applyNumberFormat="1" applyFont="1" applyFill="1" applyBorder="1" applyAlignment="1">
      <alignment horizontal="center" vertical="center"/>
    </xf>
    <xf numFmtId="165" fontId="2" fillId="11" borderId="2" xfId="0" applyNumberFormat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21" fontId="2" fillId="11" borderId="7" xfId="0" applyNumberFormat="1" applyFont="1" applyFill="1" applyBorder="1" applyAlignment="1">
      <alignment horizontal="center" vertical="center"/>
    </xf>
    <xf numFmtId="21" fontId="2" fillId="11" borderId="4" xfId="0" applyNumberFormat="1" applyFont="1" applyFill="1" applyBorder="1" applyAlignment="1">
      <alignment horizontal="center" vertical="center"/>
    </xf>
    <xf numFmtId="21" fontId="2" fillId="11" borderId="5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12" borderId="4" xfId="0" applyFill="1" applyBorder="1" applyAlignment="1"/>
    <xf numFmtId="0" fontId="0" fillId="12" borderId="5" xfId="0" applyFill="1" applyBorder="1" applyAlignment="1"/>
    <xf numFmtId="0" fontId="0" fillId="12" borderId="3" xfId="0" applyFill="1" applyBorder="1" applyAlignment="1"/>
    <xf numFmtId="0" fontId="0" fillId="0" borderId="3" xfId="0" applyBorder="1" applyAlignme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colors>
    <mruColors>
      <color rgb="FF004D56"/>
      <color rgb="FF009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CONSIGNAS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'2025_11_01'!$B$5</c:f>
              <c:strCache>
                <c:ptCount val="1"/>
                <c:pt idx="0">
                  <c:v>PFV-ELPELICANO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'2025_11_01'!$C$114:$W$114</c:f>
              <c:strCache>
                <c:ptCount val="21"/>
                <c:pt idx="0">
                  <c:v>07:26</c:v>
                </c:pt>
                <c:pt idx="1">
                  <c:v>07:39</c:v>
                </c:pt>
                <c:pt idx="2">
                  <c:v>07:44</c:v>
                </c:pt>
                <c:pt idx="3">
                  <c:v>07:49</c:v>
                </c:pt>
                <c:pt idx="4">
                  <c:v>07:52</c:v>
                </c:pt>
                <c:pt idx="5">
                  <c:v>08:16</c:v>
                </c:pt>
                <c:pt idx="6">
                  <c:v>08:21</c:v>
                </c:pt>
                <c:pt idx="7">
                  <c:v>08:28</c:v>
                </c:pt>
                <c:pt idx="8">
                  <c:v>10:03</c:v>
                </c:pt>
                <c:pt idx="9">
                  <c:v>10:32</c:v>
                </c:pt>
                <c:pt idx="10">
                  <c:v>11:57</c:v>
                </c:pt>
                <c:pt idx="11">
                  <c:v>12:13</c:v>
                </c:pt>
                <c:pt idx="12">
                  <c:v>12:31</c:v>
                </c:pt>
                <c:pt idx="13">
                  <c:v>13:32</c:v>
                </c:pt>
                <c:pt idx="14">
                  <c:v>15:12</c:v>
                </c:pt>
                <c:pt idx="15">
                  <c:v>16:52</c:v>
                </c:pt>
                <c:pt idx="16">
                  <c:v>17:01</c:v>
                </c:pt>
                <c:pt idx="17">
                  <c:v>17:22</c:v>
                </c:pt>
                <c:pt idx="18">
                  <c:v>18:59</c:v>
                </c:pt>
                <c:pt idx="19">
                  <c:v>19:05</c:v>
                </c:pt>
                <c:pt idx="20">
                  <c:v>19:08</c:v>
                </c:pt>
              </c:strCache>
            </c:strRef>
          </c:cat>
          <c:val>
            <c:numRef>
              <c:f>'2025_11_01'!$C$115:$W$115</c:f>
              <c:numCache>
                <c:formatCode>0</c:formatCode>
                <c:ptCount val="21"/>
                <c:pt idx="0">
                  <c:v>13.5</c:v>
                </c:pt>
                <c:pt idx="1">
                  <c:v>28.5</c:v>
                </c:pt>
                <c:pt idx="2">
                  <c:v>24.4</c:v>
                </c:pt>
                <c:pt idx="3">
                  <c:v>20.7</c:v>
                </c:pt>
                <c:pt idx="4">
                  <c:v>15.3</c:v>
                </c:pt>
                <c:pt idx="5">
                  <c:v>16.2</c:v>
                </c:pt>
                <c:pt idx="6">
                  <c:v>19.2</c:v>
                </c:pt>
                <c:pt idx="7">
                  <c:v>23.9</c:v>
                </c:pt>
                <c:pt idx="8">
                  <c:v>35.299999999999997</c:v>
                </c:pt>
                <c:pt idx="9">
                  <c:v>38.299999999999997</c:v>
                </c:pt>
                <c:pt idx="10">
                  <c:v>30</c:v>
                </c:pt>
                <c:pt idx="11">
                  <c:v>29.9</c:v>
                </c:pt>
                <c:pt idx="12">
                  <c:v>30.7</c:v>
                </c:pt>
                <c:pt idx="13">
                  <c:v>33.200000000000003</c:v>
                </c:pt>
                <c:pt idx="14">
                  <c:v>26.6</c:v>
                </c:pt>
                <c:pt idx="15">
                  <c:v>24.6</c:v>
                </c:pt>
                <c:pt idx="16">
                  <c:v>22.2</c:v>
                </c:pt>
                <c:pt idx="17">
                  <c:v>27.3</c:v>
                </c:pt>
                <c:pt idx="18">
                  <c:v>32.6</c:v>
                </c:pt>
                <c:pt idx="19">
                  <c:v>34.9</c:v>
                </c:pt>
                <c:pt idx="2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7-4F7C-B6AF-E6B47D545742}"/>
            </c:ext>
          </c:extLst>
        </c:ser>
        <c:ser>
          <c:idx val="1"/>
          <c:order val="1"/>
          <c:tx>
            <c:strRef>
              <c:f>'2025_11_01'!$B$6</c:f>
              <c:strCache>
                <c:ptCount val="1"/>
                <c:pt idx="0">
                  <c:v>PFV-ELROMERO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'2025_11_01'!$C$114:$W$114</c:f>
              <c:strCache>
                <c:ptCount val="21"/>
                <c:pt idx="0">
                  <c:v>07:26</c:v>
                </c:pt>
                <c:pt idx="1">
                  <c:v>07:39</c:v>
                </c:pt>
                <c:pt idx="2">
                  <c:v>07:44</c:v>
                </c:pt>
                <c:pt idx="3">
                  <c:v>07:49</c:v>
                </c:pt>
                <c:pt idx="4">
                  <c:v>07:52</c:v>
                </c:pt>
                <c:pt idx="5">
                  <c:v>08:16</c:v>
                </c:pt>
                <c:pt idx="6">
                  <c:v>08:21</c:v>
                </c:pt>
                <c:pt idx="7">
                  <c:v>08:28</c:v>
                </c:pt>
                <c:pt idx="8">
                  <c:v>10:03</c:v>
                </c:pt>
                <c:pt idx="9">
                  <c:v>10:32</c:v>
                </c:pt>
                <c:pt idx="10">
                  <c:v>11:57</c:v>
                </c:pt>
                <c:pt idx="11">
                  <c:v>12:13</c:v>
                </c:pt>
                <c:pt idx="12">
                  <c:v>12:31</c:v>
                </c:pt>
                <c:pt idx="13">
                  <c:v>13:32</c:v>
                </c:pt>
                <c:pt idx="14">
                  <c:v>15:12</c:v>
                </c:pt>
                <c:pt idx="15">
                  <c:v>16:52</c:v>
                </c:pt>
                <c:pt idx="16">
                  <c:v>17:01</c:v>
                </c:pt>
                <c:pt idx="17">
                  <c:v>17:22</c:v>
                </c:pt>
                <c:pt idx="18">
                  <c:v>18:59</c:v>
                </c:pt>
                <c:pt idx="19">
                  <c:v>19:05</c:v>
                </c:pt>
                <c:pt idx="20">
                  <c:v>19:08</c:v>
                </c:pt>
              </c:strCache>
            </c:strRef>
          </c:cat>
          <c:val>
            <c:numRef>
              <c:f>'2025_11_01'!$C$116:$W$116</c:f>
              <c:numCache>
                <c:formatCode>0</c:formatCode>
                <c:ptCount val="21"/>
                <c:pt idx="0">
                  <c:v>5.6</c:v>
                </c:pt>
                <c:pt idx="1">
                  <c:v>21</c:v>
                </c:pt>
                <c:pt idx="2">
                  <c:v>25.2</c:v>
                </c:pt>
                <c:pt idx="3">
                  <c:v>27.8</c:v>
                </c:pt>
                <c:pt idx="4">
                  <c:v>27.7</c:v>
                </c:pt>
                <c:pt idx="5">
                  <c:v>29.3</c:v>
                </c:pt>
                <c:pt idx="6">
                  <c:v>34.9</c:v>
                </c:pt>
                <c:pt idx="7">
                  <c:v>43.3</c:v>
                </c:pt>
                <c:pt idx="8">
                  <c:v>64</c:v>
                </c:pt>
                <c:pt idx="9">
                  <c:v>69.3</c:v>
                </c:pt>
                <c:pt idx="10">
                  <c:v>76.400000000000006</c:v>
                </c:pt>
                <c:pt idx="11">
                  <c:v>76.400000000000006</c:v>
                </c:pt>
                <c:pt idx="12">
                  <c:v>76.400000000000006</c:v>
                </c:pt>
                <c:pt idx="13">
                  <c:v>76.400000000000006</c:v>
                </c:pt>
                <c:pt idx="14">
                  <c:v>78.599999999999994</c:v>
                </c:pt>
                <c:pt idx="15">
                  <c:v>44.7</c:v>
                </c:pt>
                <c:pt idx="16">
                  <c:v>40.299999999999997</c:v>
                </c:pt>
                <c:pt idx="17">
                  <c:v>49.4</c:v>
                </c:pt>
                <c:pt idx="18">
                  <c:v>22.3</c:v>
                </c:pt>
                <c:pt idx="19">
                  <c:v>18</c:v>
                </c:pt>
                <c:pt idx="20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47-4F7C-B6AF-E6B47D545742}"/>
            </c:ext>
          </c:extLst>
        </c:ser>
        <c:ser>
          <c:idx val="2"/>
          <c:order val="2"/>
          <c:tx>
            <c:strRef>
              <c:f>'2025_11_01'!$B$7</c:f>
              <c:strCache>
                <c:ptCount val="1"/>
                <c:pt idx="0">
                  <c:v>PFV-LAHUELLA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'2025_11_01'!$C$114:$W$114</c:f>
              <c:strCache>
                <c:ptCount val="21"/>
                <c:pt idx="0">
                  <c:v>07:26</c:v>
                </c:pt>
                <c:pt idx="1">
                  <c:v>07:39</c:v>
                </c:pt>
                <c:pt idx="2">
                  <c:v>07:44</c:v>
                </c:pt>
                <c:pt idx="3">
                  <c:v>07:49</c:v>
                </c:pt>
                <c:pt idx="4">
                  <c:v>07:52</c:v>
                </c:pt>
                <c:pt idx="5">
                  <c:v>08:16</c:v>
                </c:pt>
                <c:pt idx="6">
                  <c:v>08:21</c:v>
                </c:pt>
                <c:pt idx="7">
                  <c:v>08:28</c:v>
                </c:pt>
                <c:pt idx="8">
                  <c:v>10:03</c:v>
                </c:pt>
                <c:pt idx="9">
                  <c:v>10:32</c:v>
                </c:pt>
                <c:pt idx="10">
                  <c:v>11:57</c:v>
                </c:pt>
                <c:pt idx="11">
                  <c:v>12:13</c:v>
                </c:pt>
                <c:pt idx="12">
                  <c:v>12:31</c:v>
                </c:pt>
                <c:pt idx="13">
                  <c:v>13:32</c:v>
                </c:pt>
                <c:pt idx="14">
                  <c:v>15:12</c:v>
                </c:pt>
                <c:pt idx="15">
                  <c:v>16:52</c:v>
                </c:pt>
                <c:pt idx="16">
                  <c:v>17:01</c:v>
                </c:pt>
                <c:pt idx="17">
                  <c:v>17:22</c:v>
                </c:pt>
                <c:pt idx="18">
                  <c:v>18:59</c:v>
                </c:pt>
                <c:pt idx="19">
                  <c:v>19:05</c:v>
                </c:pt>
                <c:pt idx="20">
                  <c:v>19:08</c:v>
                </c:pt>
              </c:strCache>
            </c:strRef>
          </c:cat>
          <c:val>
            <c:numRef>
              <c:f>'2025_11_01'!$C$117:$W$117</c:f>
              <c:numCache>
                <c:formatCode>0</c:formatCode>
                <c:ptCount val="21"/>
                <c:pt idx="0">
                  <c:v>9.9</c:v>
                </c:pt>
                <c:pt idx="1">
                  <c:v>22.9</c:v>
                </c:pt>
                <c:pt idx="2">
                  <c:v>19.2</c:v>
                </c:pt>
                <c:pt idx="3">
                  <c:v>16.3</c:v>
                </c:pt>
                <c:pt idx="4">
                  <c:v>12</c:v>
                </c:pt>
                <c:pt idx="5">
                  <c:v>12.7</c:v>
                </c:pt>
                <c:pt idx="6">
                  <c:v>15.1</c:v>
                </c:pt>
                <c:pt idx="7">
                  <c:v>18.8</c:v>
                </c:pt>
                <c:pt idx="8">
                  <c:v>27.7</c:v>
                </c:pt>
                <c:pt idx="9">
                  <c:v>30.1</c:v>
                </c:pt>
                <c:pt idx="10">
                  <c:v>23.6</c:v>
                </c:pt>
                <c:pt idx="11">
                  <c:v>23.5</c:v>
                </c:pt>
                <c:pt idx="12">
                  <c:v>24.2</c:v>
                </c:pt>
                <c:pt idx="13">
                  <c:v>26.1</c:v>
                </c:pt>
                <c:pt idx="14">
                  <c:v>20.9</c:v>
                </c:pt>
                <c:pt idx="15">
                  <c:v>19.399999999999999</c:v>
                </c:pt>
                <c:pt idx="16">
                  <c:v>17.5</c:v>
                </c:pt>
                <c:pt idx="17">
                  <c:v>21.4</c:v>
                </c:pt>
                <c:pt idx="18">
                  <c:v>25.6</c:v>
                </c:pt>
                <c:pt idx="19">
                  <c:v>29.3</c:v>
                </c:pt>
                <c:pt idx="20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47-4F7C-B6AF-E6B47D54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538504"/>
        <c:axId val="1885703"/>
      </c:lineChart>
      <c:catAx>
        <c:axId val="203453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3"/>
        <c:crosses val="autoZero"/>
        <c:auto val="1"/>
        <c:lblAlgn val="ctr"/>
        <c:lblOffset val="100"/>
        <c:noMultiLvlLbl val="0"/>
      </c:catAx>
      <c:valAx>
        <c:axId val="188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CONSIGNAS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'2025_11_01'!$B$5</c:f>
              <c:strCache>
                <c:ptCount val="1"/>
                <c:pt idx="0">
                  <c:v>PFV-ELPELICANO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numRef>
              <c:f>'2025_11_02'!C114:W114</c:f>
              <c:numCache>
                <c:formatCode>h:mm</c:formatCode>
                <c:ptCount val="21"/>
                <c:pt idx="0">
                  <c:v>0.30555555555555558</c:v>
                </c:pt>
                <c:pt idx="1">
                  <c:v>0.32083333333333336</c:v>
                </c:pt>
                <c:pt idx="2">
                  <c:v>0.32361111111111113</c:v>
                </c:pt>
                <c:pt idx="3">
                  <c:v>0.34375</c:v>
                </c:pt>
                <c:pt idx="4">
                  <c:v>0.35902777777777778</c:v>
                </c:pt>
                <c:pt idx="5">
                  <c:v>0.38750000000000001</c:v>
                </c:pt>
                <c:pt idx="6">
                  <c:v>0.40555555555555556</c:v>
                </c:pt>
                <c:pt idx="7">
                  <c:v>0.44861111111111113</c:v>
                </c:pt>
                <c:pt idx="8">
                  <c:v>0.46388888888888891</c:v>
                </c:pt>
                <c:pt idx="9">
                  <c:v>0.4909722222222222</c:v>
                </c:pt>
                <c:pt idx="10">
                  <c:v>0.5180555555555556</c:v>
                </c:pt>
                <c:pt idx="11">
                  <c:v>0.52222222222222225</c:v>
                </c:pt>
                <c:pt idx="12">
                  <c:v>0.55555555555555558</c:v>
                </c:pt>
                <c:pt idx="13">
                  <c:v>0.67013888888888884</c:v>
                </c:pt>
                <c:pt idx="14">
                  <c:v>0.69652777777777775</c:v>
                </c:pt>
                <c:pt idx="15">
                  <c:v>0.70347222222222228</c:v>
                </c:pt>
                <c:pt idx="16">
                  <c:v>0.73333333333333328</c:v>
                </c:pt>
                <c:pt idx="17">
                  <c:v>0.75763888888888886</c:v>
                </c:pt>
                <c:pt idx="18">
                  <c:v>0.76180555555555551</c:v>
                </c:pt>
                <c:pt idx="19">
                  <c:v>0.79513888888888884</c:v>
                </c:pt>
                <c:pt idx="20">
                  <c:v>0.79791666666666672</c:v>
                </c:pt>
              </c:numCache>
            </c:numRef>
          </c:cat>
          <c:val>
            <c:numRef>
              <c:f>'2025_11_02'!C115:W115</c:f>
              <c:numCache>
                <c:formatCode>0</c:formatCode>
                <c:ptCount val="21"/>
                <c:pt idx="0">
                  <c:v>9.9</c:v>
                </c:pt>
                <c:pt idx="1">
                  <c:v>22</c:v>
                </c:pt>
                <c:pt idx="2">
                  <c:v>14.5</c:v>
                </c:pt>
                <c:pt idx="3">
                  <c:v>17.7</c:v>
                </c:pt>
                <c:pt idx="4">
                  <c:v>20.5</c:v>
                </c:pt>
                <c:pt idx="5">
                  <c:v>24.5</c:v>
                </c:pt>
                <c:pt idx="6">
                  <c:v>28.4</c:v>
                </c:pt>
                <c:pt idx="7">
                  <c:v>31.3</c:v>
                </c:pt>
                <c:pt idx="8">
                  <c:v>41.4</c:v>
                </c:pt>
                <c:pt idx="9">
                  <c:v>36.700000000000003</c:v>
                </c:pt>
                <c:pt idx="10">
                  <c:v>40</c:v>
                </c:pt>
                <c:pt idx="11">
                  <c:v>39.9</c:v>
                </c:pt>
                <c:pt idx="12">
                  <c:v>43.4</c:v>
                </c:pt>
                <c:pt idx="13">
                  <c:v>42.2</c:v>
                </c:pt>
                <c:pt idx="14">
                  <c:v>35.700000000000003</c:v>
                </c:pt>
                <c:pt idx="15">
                  <c:v>32.299999999999997</c:v>
                </c:pt>
                <c:pt idx="16">
                  <c:v>29.3</c:v>
                </c:pt>
                <c:pt idx="17">
                  <c:v>25.2</c:v>
                </c:pt>
                <c:pt idx="18">
                  <c:v>28.7</c:v>
                </c:pt>
                <c:pt idx="19">
                  <c:v>36.200000000000003</c:v>
                </c:pt>
                <c:pt idx="20">
                  <c:v>35.1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3-45B9-B71E-9FA0AD138126}"/>
            </c:ext>
          </c:extLst>
        </c:ser>
        <c:ser>
          <c:idx val="1"/>
          <c:order val="1"/>
          <c:tx>
            <c:strRef>
              <c:f>'2025_11_01'!$B$6</c:f>
              <c:strCache>
                <c:ptCount val="1"/>
                <c:pt idx="0">
                  <c:v>PFV-ELROMERO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numRef>
              <c:f>'2025_11_02'!C114:W114</c:f>
              <c:numCache>
                <c:formatCode>h:mm</c:formatCode>
                <c:ptCount val="21"/>
                <c:pt idx="0">
                  <c:v>0.30555555555555558</c:v>
                </c:pt>
                <c:pt idx="1">
                  <c:v>0.32083333333333336</c:v>
                </c:pt>
                <c:pt idx="2">
                  <c:v>0.32361111111111113</c:v>
                </c:pt>
                <c:pt idx="3">
                  <c:v>0.34375</c:v>
                </c:pt>
                <c:pt idx="4">
                  <c:v>0.35902777777777778</c:v>
                </c:pt>
                <c:pt idx="5">
                  <c:v>0.38750000000000001</c:v>
                </c:pt>
                <c:pt idx="6">
                  <c:v>0.40555555555555556</c:v>
                </c:pt>
                <c:pt idx="7">
                  <c:v>0.44861111111111113</c:v>
                </c:pt>
                <c:pt idx="8">
                  <c:v>0.46388888888888891</c:v>
                </c:pt>
                <c:pt idx="9">
                  <c:v>0.4909722222222222</c:v>
                </c:pt>
                <c:pt idx="10">
                  <c:v>0.5180555555555556</c:v>
                </c:pt>
                <c:pt idx="11">
                  <c:v>0.52222222222222225</c:v>
                </c:pt>
                <c:pt idx="12">
                  <c:v>0.55555555555555558</c:v>
                </c:pt>
                <c:pt idx="13">
                  <c:v>0.67013888888888884</c:v>
                </c:pt>
                <c:pt idx="14">
                  <c:v>0.69652777777777775</c:v>
                </c:pt>
                <c:pt idx="15">
                  <c:v>0.70347222222222228</c:v>
                </c:pt>
                <c:pt idx="16">
                  <c:v>0.73333333333333328</c:v>
                </c:pt>
                <c:pt idx="17">
                  <c:v>0.75763888888888886</c:v>
                </c:pt>
                <c:pt idx="18">
                  <c:v>0.76180555555555551</c:v>
                </c:pt>
                <c:pt idx="19">
                  <c:v>0.79513888888888884</c:v>
                </c:pt>
                <c:pt idx="20">
                  <c:v>0.79791666666666672</c:v>
                </c:pt>
              </c:numCache>
            </c:numRef>
          </c:cat>
          <c:val>
            <c:numRef>
              <c:f>'2025_11_02'!C116:W116</c:f>
              <c:numCache>
                <c:formatCode>0</c:formatCode>
                <c:ptCount val="21"/>
                <c:pt idx="0">
                  <c:v>4.5</c:v>
                </c:pt>
                <c:pt idx="1">
                  <c:v>22.9</c:v>
                </c:pt>
                <c:pt idx="2">
                  <c:v>25.8</c:v>
                </c:pt>
                <c:pt idx="3">
                  <c:v>32</c:v>
                </c:pt>
                <c:pt idx="4">
                  <c:v>37.200000000000003</c:v>
                </c:pt>
                <c:pt idx="5">
                  <c:v>44.3</c:v>
                </c:pt>
                <c:pt idx="6">
                  <c:v>51.5</c:v>
                </c:pt>
                <c:pt idx="7">
                  <c:v>56.8</c:v>
                </c:pt>
                <c:pt idx="8">
                  <c:v>75.099999999999994</c:v>
                </c:pt>
                <c:pt idx="9">
                  <c:v>66.599999999999994</c:v>
                </c:pt>
                <c:pt idx="10">
                  <c:v>72.5</c:v>
                </c:pt>
                <c:pt idx="11">
                  <c:v>72.400000000000006</c:v>
                </c:pt>
                <c:pt idx="12">
                  <c:v>78.599999999999994</c:v>
                </c:pt>
                <c:pt idx="13">
                  <c:v>76.400000000000006</c:v>
                </c:pt>
                <c:pt idx="14">
                  <c:v>76.400000000000006</c:v>
                </c:pt>
                <c:pt idx="15">
                  <c:v>59.4</c:v>
                </c:pt>
                <c:pt idx="16">
                  <c:v>53.1</c:v>
                </c:pt>
                <c:pt idx="17">
                  <c:v>45.6</c:v>
                </c:pt>
                <c:pt idx="18">
                  <c:v>52</c:v>
                </c:pt>
                <c:pt idx="19">
                  <c:v>57.2</c:v>
                </c:pt>
                <c:pt idx="20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D3-45B9-B71E-9FA0AD138126}"/>
            </c:ext>
          </c:extLst>
        </c:ser>
        <c:ser>
          <c:idx val="2"/>
          <c:order val="2"/>
          <c:tx>
            <c:strRef>
              <c:f>'2025_11_01'!$B$7</c:f>
              <c:strCache>
                <c:ptCount val="1"/>
                <c:pt idx="0">
                  <c:v>PFV-LAHUELLA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numRef>
              <c:f>'2025_11_02'!C114:W114</c:f>
              <c:numCache>
                <c:formatCode>h:mm</c:formatCode>
                <c:ptCount val="21"/>
                <c:pt idx="0">
                  <c:v>0.30555555555555558</c:v>
                </c:pt>
                <c:pt idx="1">
                  <c:v>0.32083333333333336</c:v>
                </c:pt>
                <c:pt idx="2">
                  <c:v>0.32361111111111113</c:v>
                </c:pt>
                <c:pt idx="3">
                  <c:v>0.34375</c:v>
                </c:pt>
                <c:pt idx="4">
                  <c:v>0.35902777777777778</c:v>
                </c:pt>
                <c:pt idx="5">
                  <c:v>0.38750000000000001</c:v>
                </c:pt>
                <c:pt idx="6">
                  <c:v>0.40555555555555556</c:v>
                </c:pt>
                <c:pt idx="7">
                  <c:v>0.44861111111111113</c:v>
                </c:pt>
                <c:pt idx="8">
                  <c:v>0.46388888888888891</c:v>
                </c:pt>
                <c:pt idx="9">
                  <c:v>0.4909722222222222</c:v>
                </c:pt>
                <c:pt idx="10">
                  <c:v>0.5180555555555556</c:v>
                </c:pt>
                <c:pt idx="11">
                  <c:v>0.52222222222222225</c:v>
                </c:pt>
                <c:pt idx="12">
                  <c:v>0.55555555555555558</c:v>
                </c:pt>
                <c:pt idx="13">
                  <c:v>0.67013888888888884</c:v>
                </c:pt>
                <c:pt idx="14">
                  <c:v>0.69652777777777775</c:v>
                </c:pt>
                <c:pt idx="15">
                  <c:v>0.70347222222222228</c:v>
                </c:pt>
                <c:pt idx="16">
                  <c:v>0.73333333333333328</c:v>
                </c:pt>
                <c:pt idx="17">
                  <c:v>0.75763888888888886</c:v>
                </c:pt>
                <c:pt idx="18">
                  <c:v>0.76180555555555551</c:v>
                </c:pt>
                <c:pt idx="19">
                  <c:v>0.79513888888888884</c:v>
                </c:pt>
                <c:pt idx="20">
                  <c:v>0.79791666666666672</c:v>
                </c:pt>
              </c:numCache>
            </c:numRef>
          </c:cat>
          <c:val>
            <c:numRef>
              <c:f>'2025_11_02'!C117:W117</c:f>
              <c:numCache>
                <c:formatCode>0</c:formatCode>
                <c:ptCount val="21"/>
                <c:pt idx="0">
                  <c:v>7.2</c:v>
                </c:pt>
                <c:pt idx="1">
                  <c:v>17.399999999999999</c:v>
                </c:pt>
                <c:pt idx="2">
                  <c:v>11.4</c:v>
                </c:pt>
                <c:pt idx="3">
                  <c:v>13.9</c:v>
                </c:pt>
                <c:pt idx="4">
                  <c:v>16.100000000000001</c:v>
                </c:pt>
                <c:pt idx="5">
                  <c:v>19.2</c:v>
                </c:pt>
                <c:pt idx="6">
                  <c:v>22.3</c:v>
                </c:pt>
                <c:pt idx="7">
                  <c:v>24.6</c:v>
                </c:pt>
                <c:pt idx="8">
                  <c:v>32.6</c:v>
                </c:pt>
                <c:pt idx="9">
                  <c:v>28.9</c:v>
                </c:pt>
                <c:pt idx="10">
                  <c:v>31.5</c:v>
                </c:pt>
                <c:pt idx="11">
                  <c:v>31.4</c:v>
                </c:pt>
                <c:pt idx="12">
                  <c:v>34.1</c:v>
                </c:pt>
                <c:pt idx="13">
                  <c:v>33.200000000000003</c:v>
                </c:pt>
                <c:pt idx="14">
                  <c:v>28.1</c:v>
                </c:pt>
                <c:pt idx="15">
                  <c:v>25.4</c:v>
                </c:pt>
                <c:pt idx="16">
                  <c:v>23</c:v>
                </c:pt>
                <c:pt idx="17">
                  <c:v>19.8</c:v>
                </c:pt>
                <c:pt idx="18">
                  <c:v>22.5</c:v>
                </c:pt>
                <c:pt idx="19">
                  <c:v>28.5</c:v>
                </c:pt>
                <c:pt idx="20">
                  <c:v>29.2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D3-45B9-B71E-9FA0AD138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538504"/>
        <c:axId val="1885703"/>
      </c:lineChart>
      <c:catAx>
        <c:axId val="2034538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3"/>
        <c:crosses val="autoZero"/>
        <c:auto val="1"/>
        <c:lblAlgn val="ctr"/>
        <c:lblOffset val="100"/>
        <c:noMultiLvlLbl val="0"/>
      </c:catAx>
      <c:valAx>
        <c:axId val="188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CONSIGNAS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'2025_11_01'!$B$5</c:f>
              <c:strCache>
                <c:ptCount val="1"/>
                <c:pt idx="0">
                  <c:v>PFV-ELPELICANO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numRef>
              <c:f>'2025_11_03'!C114:Z114</c:f>
              <c:numCache>
                <c:formatCode>h:mm</c:formatCode>
                <c:ptCount val="24"/>
                <c:pt idx="0">
                  <c:v>0.31111111111111112</c:v>
                </c:pt>
                <c:pt idx="1">
                  <c:v>0.31944444444444442</c:v>
                </c:pt>
                <c:pt idx="2">
                  <c:v>0.32222222222222224</c:v>
                </c:pt>
                <c:pt idx="3">
                  <c:v>0.33263888888888887</c:v>
                </c:pt>
                <c:pt idx="4">
                  <c:v>0.33541666666666664</c:v>
                </c:pt>
                <c:pt idx="5">
                  <c:v>0.34652777777777777</c:v>
                </c:pt>
                <c:pt idx="6">
                  <c:v>0.36527777777777776</c:v>
                </c:pt>
                <c:pt idx="7">
                  <c:v>0.38680555555555557</c:v>
                </c:pt>
                <c:pt idx="8">
                  <c:v>0.39513888888888887</c:v>
                </c:pt>
                <c:pt idx="9">
                  <c:v>0.49930555555555556</c:v>
                </c:pt>
                <c:pt idx="10">
                  <c:v>0.50902777777777775</c:v>
                </c:pt>
                <c:pt idx="11">
                  <c:v>0.52500000000000002</c:v>
                </c:pt>
                <c:pt idx="12">
                  <c:v>0.53541666666666665</c:v>
                </c:pt>
                <c:pt idx="13">
                  <c:v>0.5395833333333333</c:v>
                </c:pt>
                <c:pt idx="14">
                  <c:v>0.54513888888888884</c:v>
                </c:pt>
                <c:pt idx="15">
                  <c:v>0.55902777777777779</c:v>
                </c:pt>
                <c:pt idx="16">
                  <c:v>0.62013888888888891</c:v>
                </c:pt>
                <c:pt idx="17">
                  <c:v>0.65</c:v>
                </c:pt>
                <c:pt idx="18">
                  <c:v>0.66319444444444442</c:v>
                </c:pt>
                <c:pt idx="19">
                  <c:v>0.67638888888888893</c:v>
                </c:pt>
                <c:pt idx="20">
                  <c:v>0.7006944444444444</c:v>
                </c:pt>
                <c:pt idx="21">
                  <c:v>0.71250000000000002</c:v>
                </c:pt>
                <c:pt idx="22">
                  <c:v>0.72777777777777775</c:v>
                </c:pt>
                <c:pt idx="23">
                  <c:v>0.78194444444444444</c:v>
                </c:pt>
              </c:numCache>
            </c:numRef>
          </c:cat>
          <c:val>
            <c:numRef>
              <c:f>'2025_11_03'!C115:Z115</c:f>
              <c:numCache>
                <c:formatCode>0</c:formatCode>
                <c:ptCount val="24"/>
                <c:pt idx="0">
                  <c:v>14.6</c:v>
                </c:pt>
                <c:pt idx="1">
                  <c:v>28.7</c:v>
                </c:pt>
                <c:pt idx="2">
                  <c:v>36.1</c:v>
                </c:pt>
                <c:pt idx="3">
                  <c:v>15.4</c:v>
                </c:pt>
                <c:pt idx="4">
                  <c:v>35.9</c:v>
                </c:pt>
                <c:pt idx="5">
                  <c:v>54.9</c:v>
                </c:pt>
                <c:pt idx="6">
                  <c:v>74.5</c:v>
                </c:pt>
                <c:pt idx="7">
                  <c:v>67.2</c:v>
                </c:pt>
                <c:pt idx="8">
                  <c:v>72.7</c:v>
                </c:pt>
                <c:pt idx="9">
                  <c:v>66.3</c:v>
                </c:pt>
                <c:pt idx="10">
                  <c:v>63.5</c:v>
                </c:pt>
                <c:pt idx="11">
                  <c:v>58.9</c:v>
                </c:pt>
                <c:pt idx="12">
                  <c:v>54.2</c:v>
                </c:pt>
                <c:pt idx="13">
                  <c:v>49.1</c:v>
                </c:pt>
                <c:pt idx="14">
                  <c:v>45.1</c:v>
                </c:pt>
                <c:pt idx="15">
                  <c:v>47.5</c:v>
                </c:pt>
                <c:pt idx="16">
                  <c:v>46.3</c:v>
                </c:pt>
                <c:pt idx="17">
                  <c:v>42.4</c:v>
                </c:pt>
                <c:pt idx="18">
                  <c:v>47.8</c:v>
                </c:pt>
                <c:pt idx="19">
                  <c:v>50.9</c:v>
                </c:pt>
                <c:pt idx="20">
                  <c:v>42.7</c:v>
                </c:pt>
                <c:pt idx="21">
                  <c:v>37.6</c:v>
                </c:pt>
                <c:pt idx="22">
                  <c:v>42.9</c:v>
                </c:pt>
                <c:pt idx="2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A-4742-A952-8B55E46F68F4}"/>
            </c:ext>
          </c:extLst>
        </c:ser>
        <c:ser>
          <c:idx val="1"/>
          <c:order val="1"/>
          <c:tx>
            <c:strRef>
              <c:f>'2025_11_01'!$B$6</c:f>
              <c:strCache>
                <c:ptCount val="1"/>
                <c:pt idx="0">
                  <c:v>PFV-ELROMERO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numRef>
              <c:f>'2025_11_03'!C114:Z114</c:f>
              <c:numCache>
                <c:formatCode>h:mm</c:formatCode>
                <c:ptCount val="24"/>
                <c:pt idx="0">
                  <c:v>0.31111111111111112</c:v>
                </c:pt>
                <c:pt idx="1">
                  <c:v>0.31944444444444442</c:v>
                </c:pt>
                <c:pt idx="2">
                  <c:v>0.32222222222222224</c:v>
                </c:pt>
                <c:pt idx="3">
                  <c:v>0.33263888888888887</c:v>
                </c:pt>
                <c:pt idx="4">
                  <c:v>0.33541666666666664</c:v>
                </c:pt>
                <c:pt idx="5">
                  <c:v>0.34652777777777777</c:v>
                </c:pt>
                <c:pt idx="6">
                  <c:v>0.36527777777777776</c:v>
                </c:pt>
                <c:pt idx="7">
                  <c:v>0.38680555555555557</c:v>
                </c:pt>
                <c:pt idx="8">
                  <c:v>0.39513888888888887</c:v>
                </c:pt>
                <c:pt idx="9">
                  <c:v>0.49930555555555556</c:v>
                </c:pt>
                <c:pt idx="10">
                  <c:v>0.50902777777777775</c:v>
                </c:pt>
                <c:pt idx="11">
                  <c:v>0.52500000000000002</c:v>
                </c:pt>
                <c:pt idx="12">
                  <c:v>0.53541666666666665</c:v>
                </c:pt>
                <c:pt idx="13">
                  <c:v>0.5395833333333333</c:v>
                </c:pt>
                <c:pt idx="14">
                  <c:v>0.54513888888888884</c:v>
                </c:pt>
                <c:pt idx="15">
                  <c:v>0.55902777777777779</c:v>
                </c:pt>
                <c:pt idx="16">
                  <c:v>0.62013888888888891</c:v>
                </c:pt>
                <c:pt idx="17">
                  <c:v>0.65</c:v>
                </c:pt>
                <c:pt idx="18">
                  <c:v>0.66319444444444442</c:v>
                </c:pt>
                <c:pt idx="19">
                  <c:v>0.67638888888888893</c:v>
                </c:pt>
                <c:pt idx="20">
                  <c:v>0.7006944444444444</c:v>
                </c:pt>
                <c:pt idx="21">
                  <c:v>0.71250000000000002</c:v>
                </c:pt>
                <c:pt idx="22">
                  <c:v>0.72777777777777775</c:v>
                </c:pt>
                <c:pt idx="23">
                  <c:v>0.78194444444444444</c:v>
                </c:pt>
              </c:numCache>
            </c:numRef>
          </c:cat>
          <c:val>
            <c:numRef>
              <c:f>'2025_11_03'!C116:Z116</c:f>
              <c:numCache>
                <c:formatCode>0</c:formatCode>
                <c:ptCount val="24"/>
                <c:pt idx="0">
                  <c:v>21.7</c:v>
                </c:pt>
                <c:pt idx="1">
                  <c:v>32.1</c:v>
                </c:pt>
                <c:pt idx="2">
                  <c:v>28</c:v>
                </c:pt>
                <c:pt idx="3">
                  <c:v>27.8</c:v>
                </c:pt>
                <c:pt idx="4">
                  <c:v>40.700000000000003</c:v>
                </c:pt>
                <c:pt idx="5">
                  <c:v>45.7</c:v>
                </c:pt>
                <c:pt idx="6">
                  <c:v>70.7</c:v>
                </c:pt>
                <c:pt idx="7">
                  <c:v>98.4</c:v>
                </c:pt>
                <c:pt idx="8">
                  <c:v>116.1</c:v>
                </c:pt>
                <c:pt idx="9">
                  <c:v>120.3</c:v>
                </c:pt>
                <c:pt idx="10">
                  <c:v>115.1</c:v>
                </c:pt>
                <c:pt idx="11">
                  <c:v>106.7</c:v>
                </c:pt>
                <c:pt idx="12">
                  <c:v>98.3</c:v>
                </c:pt>
                <c:pt idx="13">
                  <c:v>89.1</c:v>
                </c:pt>
                <c:pt idx="14">
                  <c:v>90.9</c:v>
                </c:pt>
                <c:pt idx="15">
                  <c:v>101.4</c:v>
                </c:pt>
                <c:pt idx="16">
                  <c:v>88.9</c:v>
                </c:pt>
                <c:pt idx="17">
                  <c:v>88.9</c:v>
                </c:pt>
                <c:pt idx="18">
                  <c:v>86.6</c:v>
                </c:pt>
                <c:pt idx="19">
                  <c:v>92.3</c:v>
                </c:pt>
                <c:pt idx="20">
                  <c:v>77.5</c:v>
                </c:pt>
                <c:pt idx="21">
                  <c:v>68.2</c:v>
                </c:pt>
                <c:pt idx="22">
                  <c:v>77.7</c:v>
                </c:pt>
                <c:pt idx="23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A-4742-A952-8B55E46F68F4}"/>
            </c:ext>
          </c:extLst>
        </c:ser>
        <c:ser>
          <c:idx val="2"/>
          <c:order val="2"/>
          <c:tx>
            <c:strRef>
              <c:f>'2025_11_01'!$B$7</c:f>
              <c:strCache>
                <c:ptCount val="1"/>
                <c:pt idx="0">
                  <c:v>PFV-LAHUELLA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numRef>
              <c:f>'2025_11_03'!C114:Z114</c:f>
              <c:numCache>
                <c:formatCode>h:mm</c:formatCode>
                <c:ptCount val="24"/>
                <c:pt idx="0">
                  <c:v>0.31111111111111112</c:v>
                </c:pt>
                <c:pt idx="1">
                  <c:v>0.31944444444444442</c:v>
                </c:pt>
                <c:pt idx="2">
                  <c:v>0.32222222222222224</c:v>
                </c:pt>
                <c:pt idx="3">
                  <c:v>0.33263888888888887</c:v>
                </c:pt>
                <c:pt idx="4">
                  <c:v>0.33541666666666664</c:v>
                </c:pt>
                <c:pt idx="5">
                  <c:v>0.34652777777777777</c:v>
                </c:pt>
                <c:pt idx="6">
                  <c:v>0.36527777777777776</c:v>
                </c:pt>
                <c:pt idx="7">
                  <c:v>0.38680555555555557</c:v>
                </c:pt>
                <c:pt idx="8">
                  <c:v>0.39513888888888887</c:v>
                </c:pt>
                <c:pt idx="9">
                  <c:v>0.49930555555555556</c:v>
                </c:pt>
                <c:pt idx="10">
                  <c:v>0.50902777777777775</c:v>
                </c:pt>
                <c:pt idx="11">
                  <c:v>0.52500000000000002</c:v>
                </c:pt>
                <c:pt idx="12">
                  <c:v>0.53541666666666665</c:v>
                </c:pt>
                <c:pt idx="13">
                  <c:v>0.5395833333333333</c:v>
                </c:pt>
                <c:pt idx="14">
                  <c:v>0.54513888888888884</c:v>
                </c:pt>
                <c:pt idx="15">
                  <c:v>0.55902777777777779</c:v>
                </c:pt>
                <c:pt idx="16">
                  <c:v>0.62013888888888891</c:v>
                </c:pt>
                <c:pt idx="17">
                  <c:v>0.65</c:v>
                </c:pt>
                <c:pt idx="18">
                  <c:v>0.66319444444444442</c:v>
                </c:pt>
                <c:pt idx="19">
                  <c:v>0.67638888888888893</c:v>
                </c:pt>
                <c:pt idx="20">
                  <c:v>0.7006944444444444</c:v>
                </c:pt>
                <c:pt idx="21">
                  <c:v>0.71250000000000002</c:v>
                </c:pt>
                <c:pt idx="22">
                  <c:v>0.72777777777777775</c:v>
                </c:pt>
                <c:pt idx="23">
                  <c:v>0.78194444444444444</c:v>
                </c:pt>
              </c:numCache>
            </c:numRef>
          </c:cat>
          <c:val>
            <c:numRef>
              <c:f>'2025_11_03'!C117:Z117</c:f>
              <c:numCache>
                <c:formatCode>0</c:formatCode>
                <c:ptCount val="24"/>
                <c:pt idx="0">
                  <c:v>13</c:v>
                </c:pt>
                <c:pt idx="1">
                  <c:v>22.5</c:v>
                </c:pt>
                <c:pt idx="2">
                  <c:v>16.8</c:v>
                </c:pt>
                <c:pt idx="3">
                  <c:v>12.8</c:v>
                </c:pt>
                <c:pt idx="4">
                  <c:v>32.9</c:v>
                </c:pt>
                <c:pt idx="5">
                  <c:v>41</c:v>
                </c:pt>
                <c:pt idx="6">
                  <c:v>57.5</c:v>
                </c:pt>
                <c:pt idx="7">
                  <c:v>52.8</c:v>
                </c:pt>
                <c:pt idx="8">
                  <c:v>57.1</c:v>
                </c:pt>
                <c:pt idx="9">
                  <c:v>52.2</c:v>
                </c:pt>
                <c:pt idx="10">
                  <c:v>49.9</c:v>
                </c:pt>
                <c:pt idx="11">
                  <c:v>46.3</c:v>
                </c:pt>
                <c:pt idx="12">
                  <c:v>42.6</c:v>
                </c:pt>
                <c:pt idx="13">
                  <c:v>38.6</c:v>
                </c:pt>
                <c:pt idx="14">
                  <c:v>35.4</c:v>
                </c:pt>
                <c:pt idx="15">
                  <c:v>37.299999999999997</c:v>
                </c:pt>
                <c:pt idx="16">
                  <c:v>36.4</c:v>
                </c:pt>
                <c:pt idx="17">
                  <c:v>33.299999999999997</c:v>
                </c:pt>
                <c:pt idx="18">
                  <c:v>37.6</c:v>
                </c:pt>
                <c:pt idx="19">
                  <c:v>40</c:v>
                </c:pt>
                <c:pt idx="20">
                  <c:v>33.6</c:v>
                </c:pt>
                <c:pt idx="21">
                  <c:v>29.6</c:v>
                </c:pt>
                <c:pt idx="22">
                  <c:v>33.700000000000003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6A-4742-A952-8B55E46F6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538504"/>
        <c:axId val="1885703"/>
      </c:lineChart>
      <c:catAx>
        <c:axId val="2034538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3"/>
        <c:crosses val="autoZero"/>
        <c:auto val="1"/>
        <c:lblAlgn val="ctr"/>
        <c:lblOffset val="100"/>
        <c:noMultiLvlLbl val="0"/>
      </c:catAx>
      <c:valAx>
        <c:axId val="188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CONSIGNAS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'2025_11_01'!$B$5</c:f>
              <c:strCache>
                <c:ptCount val="1"/>
                <c:pt idx="0">
                  <c:v>PFV-ELPELICANO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numRef>
              <c:f>'2025_11_04'!$C$114:$Y$114</c:f>
              <c:numCache>
                <c:formatCode>h:mm</c:formatCode>
                <c:ptCount val="23"/>
                <c:pt idx="0">
                  <c:v>0.30208333333333331</c:v>
                </c:pt>
                <c:pt idx="1">
                  <c:v>0.33124999999999999</c:v>
                </c:pt>
                <c:pt idx="2">
                  <c:v>0.33611111111111114</c:v>
                </c:pt>
                <c:pt idx="3">
                  <c:v>0.33958333333333335</c:v>
                </c:pt>
                <c:pt idx="4">
                  <c:v>0.34652777777777777</c:v>
                </c:pt>
                <c:pt idx="5">
                  <c:v>0.35694444444444445</c:v>
                </c:pt>
                <c:pt idx="6">
                  <c:v>0.37222222222222223</c:v>
                </c:pt>
                <c:pt idx="7">
                  <c:v>0.37847222222222221</c:v>
                </c:pt>
                <c:pt idx="8">
                  <c:v>0.40138888888888891</c:v>
                </c:pt>
                <c:pt idx="9">
                  <c:v>0.42083333333333334</c:v>
                </c:pt>
                <c:pt idx="10">
                  <c:v>0.47361111111111109</c:v>
                </c:pt>
                <c:pt idx="11">
                  <c:v>0.51180555555555551</c:v>
                </c:pt>
                <c:pt idx="12">
                  <c:v>0.57222222222222219</c:v>
                </c:pt>
                <c:pt idx="13">
                  <c:v>0.59027777777777779</c:v>
                </c:pt>
                <c:pt idx="14">
                  <c:v>0.59791666666666665</c:v>
                </c:pt>
                <c:pt idx="15">
                  <c:v>0.61319444444444449</c:v>
                </c:pt>
                <c:pt idx="16">
                  <c:v>0.67777777777777781</c:v>
                </c:pt>
                <c:pt idx="17">
                  <c:v>0.6875</c:v>
                </c:pt>
                <c:pt idx="18">
                  <c:v>0.71944444444444444</c:v>
                </c:pt>
                <c:pt idx="19">
                  <c:v>0.73055555555555551</c:v>
                </c:pt>
                <c:pt idx="20">
                  <c:v>0.75</c:v>
                </c:pt>
                <c:pt idx="21">
                  <c:v>0.77916666666666667</c:v>
                </c:pt>
                <c:pt idx="22">
                  <c:v>0.78541666666666665</c:v>
                </c:pt>
              </c:numCache>
            </c:numRef>
          </c:cat>
          <c:val>
            <c:numRef>
              <c:f>'2025_11_04'!$C$115:$Y$115</c:f>
              <c:numCache>
                <c:formatCode>0</c:formatCode>
                <c:ptCount val="23"/>
                <c:pt idx="0">
                  <c:v>6.5</c:v>
                </c:pt>
                <c:pt idx="1">
                  <c:v>18.899999999999999</c:v>
                </c:pt>
                <c:pt idx="2">
                  <c:v>20.2</c:v>
                </c:pt>
                <c:pt idx="3">
                  <c:v>24.9</c:v>
                </c:pt>
                <c:pt idx="4">
                  <c:v>32.6</c:v>
                </c:pt>
                <c:pt idx="5">
                  <c:v>41.5</c:v>
                </c:pt>
                <c:pt idx="6">
                  <c:v>43</c:v>
                </c:pt>
                <c:pt idx="7">
                  <c:v>53.9</c:v>
                </c:pt>
                <c:pt idx="8">
                  <c:v>59.4</c:v>
                </c:pt>
                <c:pt idx="9">
                  <c:v>65.5</c:v>
                </c:pt>
                <c:pt idx="10">
                  <c:v>60.5</c:v>
                </c:pt>
                <c:pt idx="11">
                  <c:v>54.3</c:v>
                </c:pt>
                <c:pt idx="12">
                  <c:v>50.2</c:v>
                </c:pt>
                <c:pt idx="13">
                  <c:v>48.1</c:v>
                </c:pt>
                <c:pt idx="14">
                  <c:v>45.6</c:v>
                </c:pt>
                <c:pt idx="15">
                  <c:v>41.6</c:v>
                </c:pt>
                <c:pt idx="16">
                  <c:v>43.7</c:v>
                </c:pt>
                <c:pt idx="17">
                  <c:v>46.3</c:v>
                </c:pt>
                <c:pt idx="18">
                  <c:v>41.3</c:v>
                </c:pt>
                <c:pt idx="19">
                  <c:v>36.5</c:v>
                </c:pt>
                <c:pt idx="20">
                  <c:v>35.4</c:v>
                </c:pt>
                <c:pt idx="21">
                  <c:v>35.6</c:v>
                </c:pt>
                <c:pt idx="22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E-42E3-ABFE-2EEB42F89820}"/>
            </c:ext>
          </c:extLst>
        </c:ser>
        <c:ser>
          <c:idx val="1"/>
          <c:order val="1"/>
          <c:tx>
            <c:strRef>
              <c:f>'2025_11_01'!$B$6</c:f>
              <c:strCache>
                <c:ptCount val="1"/>
                <c:pt idx="0">
                  <c:v>PFV-ELROMERO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numRef>
              <c:f>'2025_11_04'!$C$114:$Y$114</c:f>
              <c:numCache>
                <c:formatCode>h:mm</c:formatCode>
                <c:ptCount val="23"/>
                <c:pt idx="0">
                  <c:v>0.30208333333333331</c:v>
                </c:pt>
                <c:pt idx="1">
                  <c:v>0.33124999999999999</c:v>
                </c:pt>
                <c:pt idx="2">
                  <c:v>0.33611111111111114</c:v>
                </c:pt>
                <c:pt idx="3">
                  <c:v>0.33958333333333335</c:v>
                </c:pt>
                <c:pt idx="4">
                  <c:v>0.34652777777777777</c:v>
                </c:pt>
                <c:pt idx="5">
                  <c:v>0.35694444444444445</c:v>
                </c:pt>
                <c:pt idx="6">
                  <c:v>0.37222222222222223</c:v>
                </c:pt>
                <c:pt idx="7">
                  <c:v>0.37847222222222221</c:v>
                </c:pt>
                <c:pt idx="8">
                  <c:v>0.40138888888888891</c:v>
                </c:pt>
                <c:pt idx="9">
                  <c:v>0.42083333333333334</c:v>
                </c:pt>
                <c:pt idx="10">
                  <c:v>0.47361111111111109</c:v>
                </c:pt>
                <c:pt idx="11">
                  <c:v>0.51180555555555551</c:v>
                </c:pt>
                <c:pt idx="12">
                  <c:v>0.57222222222222219</c:v>
                </c:pt>
                <c:pt idx="13">
                  <c:v>0.59027777777777779</c:v>
                </c:pt>
                <c:pt idx="14">
                  <c:v>0.59791666666666665</c:v>
                </c:pt>
                <c:pt idx="15">
                  <c:v>0.61319444444444449</c:v>
                </c:pt>
                <c:pt idx="16">
                  <c:v>0.67777777777777781</c:v>
                </c:pt>
                <c:pt idx="17">
                  <c:v>0.6875</c:v>
                </c:pt>
                <c:pt idx="18">
                  <c:v>0.71944444444444444</c:v>
                </c:pt>
                <c:pt idx="19">
                  <c:v>0.73055555555555551</c:v>
                </c:pt>
                <c:pt idx="20">
                  <c:v>0.75</c:v>
                </c:pt>
                <c:pt idx="21">
                  <c:v>0.77916666666666667</c:v>
                </c:pt>
                <c:pt idx="22">
                  <c:v>0.78541666666666665</c:v>
                </c:pt>
              </c:numCache>
            </c:numRef>
          </c:cat>
          <c:val>
            <c:numRef>
              <c:f>'2025_11_04'!$C$116:$Y$116</c:f>
              <c:numCache>
                <c:formatCode>0</c:formatCode>
                <c:ptCount val="23"/>
                <c:pt idx="0">
                  <c:v>4.5</c:v>
                </c:pt>
                <c:pt idx="1">
                  <c:v>34.299999999999997</c:v>
                </c:pt>
                <c:pt idx="2">
                  <c:v>36.700000000000003</c:v>
                </c:pt>
                <c:pt idx="3">
                  <c:v>45.1</c:v>
                </c:pt>
                <c:pt idx="4">
                  <c:v>56.4</c:v>
                </c:pt>
                <c:pt idx="5">
                  <c:v>71.099999999999994</c:v>
                </c:pt>
                <c:pt idx="6">
                  <c:v>77.900000000000006</c:v>
                </c:pt>
                <c:pt idx="7">
                  <c:v>96.9</c:v>
                </c:pt>
                <c:pt idx="8">
                  <c:v>107.7</c:v>
                </c:pt>
                <c:pt idx="9">
                  <c:v>118.7</c:v>
                </c:pt>
                <c:pt idx="10">
                  <c:v>109.6</c:v>
                </c:pt>
                <c:pt idx="11">
                  <c:v>98.4</c:v>
                </c:pt>
                <c:pt idx="12">
                  <c:v>91</c:v>
                </c:pt>
                <c:pt idx="13">
                  <c:v>87.2</c:v>
                </c:pt>
                <c:pt idx="14">
                  <c:v>82.7</c:v>
                </c:pt>
                <c:pt idx="15">
                  <c:v>75.400000000000006</c:v>
                </c:pt>
                <c:pt idx="16">
                  <c:v>79.3</c:v>
                </c:pt>
                <c:pt idx="17">
                  <c:v>83.9</c:v>
                </c:pt>
                <c:pt idx="18">
                  <c:v>74.900000000000006</c:v>
                </c:pt>
                <c:pt idx="19">
                  <c:v>66.3</c:v>
                </c:pt>
                <c:pt idx="20">
                  <c:v>64.2</c:v>
                </c:pt>
                <c:pt idx="21">
                  <c:v>38.5</c:v>
                </c:pt>
                <c:pt idx="22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E-42E3-ABFE-2EEB42F89820}"/>
            </c:ext>
          </c:extLst>
        </c:ser>
        <c:ser>
          <c:idx val="2"/>
          <c:order val="2"/>
          <c:tx>
            <c:strRef>
              <c:f>'2025_11_01'!$B$7</c:f>
              <c:strCache>
                <c:ptCount val="1"/>
                <c:pt idx="0">
                  <c:v>PFV-LAHUELLA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numRef>
              <c:f>'2025_11_04'!$C$114:$Y$114</c:f>
              <c:numCache>
                <c:formatCode>h:mm</c:formatCode>
                <c:ptCount val="23"/>
                <c:pt idx="0">
                  <c:v>0.30208333333333331</c:v>
                </c:pt>
                <c:pt idx="1">
                  <c:v>0.33124999999999999</c:v>
                </c:pt>
                <c:pt idx="2">
                  <c:v>0.33611111111111114</c:v>
                </c:pt>
                <c:pt idx="3">
                  <c:v>0.33958333333333335</c:v>
                </c:pt>
                <c:pt idx="4">
                  <c:v>0.34652777777777777</c:v>
                </c:pt>
                <c:pt idx="5">
                  <c:v>0.35694444444444445</c:v>
                </c:pt>
                <c:pt idx="6">
                  <c:v>0.37222222222222223</c:v>
                </c:pt>
                <c:pt idx="7">
                  <c:v>0.37847222222222221</c:v>
                </c:pt>
                <c:pt idx="8">
                  <c:v>0.40138888888888891</c:v>
                </c:pt>
                <c:pt idx="9">
                  <c:v>0.42083333333333334</c:v>
                </c:pt>
                <c:pt idx="10">
                  <c:v>0.47361111111111109</c:v>
                </c:pt>
                <c:pt idx="11">
                  <c:v>0.51180555555555551</c:v>
                </c:pt>
                <c:pt idx="12">
                  <c:v>0.57222222222222219</c:v>
                </c:pt>
                <c:pt idx="13">
                  <c:v>0.59027777777777779</c:v>
                </c:pt>
                <c:pt idx="14">
                  <c:v>0.59791666666666665</c:v>
                </c:pt>
                <c:pt idx="15">
                  <c:v>0.61319444444444449</c:v>
                </c:pt>
                <c:pt idx="16">
                  <c:v>0.67777777777777781</c:v>
                </c:pt>
                <c:pt idx="17">
                  <c:v>0.6875</c:v>
                </c:pt>
                <c:pt idx="18">
                  <c:v>0.71944444444444444</c:v>
                </c:pt>
                <c:pt idx="19">
                  <c:v>0.73055555555555551</c:v>
                </c:pt>
                <c:pt idx="20">
                  <c:v>0.75</c:v>
                </c:pt>
                <c:pt idx="21">
                  <c:v>0.77916666666666667</c:v>
                </c:pt>
                <c:pt idx="22">
                  <c:v>0.78541666666666665</c:v>
                </c:pt>
              </c:numCache>
            </c:numRef>
          </c:cat>
          <c:val>
            <c:numRef>
              <c:f>'2025_11_04'!$C$117:$Y$117</c:f>
              <c:numCache>
                <c:formatCode>0</c:formatCode>
                <c:ptCount val="23"/>
                <c:pt idx="0">
                  <c:v>1.6</c:v>
                </c:pt>
                <c:pt idx="1">
                  <c:v>14.9</c:v>
                </c:pt>
                <c:pt idx="2">
                  <c:v>15.9</c:v>
                </c:pt>
                <c:pt idx="3">
                  <c:v>19.600000000000001</c:v>
                </c:pt>
                <c:pt idx="4">
                  <c:v>25.6</c:v>
                </c:pt>
                <c:pt idx="5">
                  <c:v>32.6</c:v>
                </c:pt>
                <c:pt idx="6">
                  <c:v>33.799999999999997</c:v>
                </c:pt>
                <c:pt idx="7">
                  <c:v>42.4</c:v>
                </c:pt>
                <c:pt idx="8">
                  <c:v>46.7</c:v>
                </c:pt>
                <c:pt idx="9">
                  <c:v>51.5</c:v>
                </c:pt>
                <c:pt idx="10">
                  <c:v>47.5</c:v>
                </c:pt>
                <c:pt idx="11">
                  <c:v>42.7</c:v>
                </c:pt>
                <c:pt idx="12">
                  <c:v>39.5</c:v>
                </c:pt>
                <c:pt idx="13">
                  <c:v>37.799999999999997</c:v>
                </c:pt>
                <c:pt idx="14">
                  <c:v>35.9</c:v>
                </c:pt>
                <c:pt idx="15">
                  <c:v>32.700000000000003</c:v>
                </c:pt>
                <c:pt idx="16">
                  <c:v>34.4</c:v>
                </c:pt>
                <c:pt idx="17">
                  <c:v>36.4</c:v>
                </c:pt>
                <c:pt idx="18">
                  <c:v>32.5</c:v>
                </c:pt>
                <c:pt idx="19">
                  <c:v>28.7</c:v>
                </c:pt>
                <c:pt idx="20">
                  <c:v>27.9</c:v>
                </c:pt>
                <c:pt idx="21">
                  <c:v>28</c:v>
                </c:pt>
                <c:pt idx="22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4E-42E3-ABFE-2EEB42F89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538504"/>
        <c:axId val="1885703"/>
      </c:lineChart>
      <c:catAx>
        <c:axId val="2034538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3"/>
        <c:crosses val="autoZero"/>
        <c:auto val="1"/>
        <c:lblAlgn val="ctr"/>
        <c:lblOffset val="100"/>
        <c:noMultiLvlLbl val="0"/>
      </c:catAx>
      <c:valAx>
        <c:axId val="188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CONSIGNAS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'2025_11_01'!$B$5</c:f>
              <c:strCache>
                <c:ptCount val="1"/>
                <c:pt idx="0">
                  <c:v>PFV-ELPELICANO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numRef>
              <c:f>'2025_11_05'!$C$114:$AC$114</c:f>
              <c:numCache>
                <c:formatCode>h:mm</c:formatCode>
                <c:ptCount val="27"/>
                <c:pt idx="0">
                  <c:v>0.30833333333333335</c:v>
                </c:pt>
                <c:pt idx="1">
                  <c:v>0.32361111111111113</c:v>
                </c:pt>
                <c:pt idx="2">
                  <c:v>0.33750000000000002</c:v>
                </c:pt>
                <c:pt idx="3">
                  <c:v>0.34791666666666665</c:v>
                </c:pt>
                <c:pt idx="4">
                  <c:v>0.36805555555555558</c:v>
                </c:pt>
                <c:pt idx="5">
                  <c:v>0.45555555555555555</c:v>
                </c:pt>
                <c:pt idx="6">
                  <c:v>0.46527777777777779</c:v>
                </c:pt>
                <c:pt idx="7">
                  <c:v>0.51458333333333328</c:v>
                </c:pt>
                <c:pt idx="8">
                  <c:v>0.51875000000000004</c:v>
                </c:pt>
                <c:pt idx="9">
                  <c:v>0.54652777777777772</c:v>
                </c:pt>
                <c:pt idx="10">
                  <c:v>0.55902777777777779</c:v>
                </c:pt>
                <c:pt idx="11">
                  <c:v>0.56180555555555556</c:v>
                </c:pt>
                <c:pt idx="12">
                  <c:v>0.57916666666666672</c:v>
                </c:pt>
                <c:pt idx="13">
                  <c:v>0.59027777777777779</c:v>
                </c:pt>
                <c:pt idx="14">
                  <c:v>0.59930555555555554</c:v>
                </c:pt>
                <c:pt idx="15">
                  <c:v>0.62152777777777779</c:v>
                </c:pt>
                <c:pt idx="16">
                  <c:v>0.64097222222222228</c:v>
                </c:pt>
                <c:pt idx="17">
                  <c:v>0.67291666666666672</c:v>
                </c:pt>
                <c:pt idx="18">
                  <c:v>0.68194444444444446</c:v>
                </c:pt>
                <c:pt idx="19">
                  <c:v>0.69444444444444442</c:v>
                </c:pt>
                <c:pt idx="20">
                  <c:v>0.72569444444444442</c:v>
                </c:pt>
                <c:pt idx="21">
                  <c:v>0.74513888888888891</c:v>
                </c:pt>
                <c:pt idx="22">
                  <c:v>0.75138888888888888</c:v>
                </c:pt>
                <c:pt idx="23">
                  <c:v>0.77430555555555558</c:v>
                </c:pt>
                <c:pt idx="24">
                  <c:v>0.78055555555555556</c:v>
                </c:pt>
                <c:pt idx="25">
                  <c:v>0.78541666666666665</c:v>
                </c:pt>
                <c:pt idx="26">
                  <c:v>0.79513888888888884</c:v>
                </c:pt>
              </c:numCache>
            </c:numRef>
          </c:cat>
          <c:val>
            <c:numRef>
              <c:f>'2025_11_05'!$C$115:$AC$115</c:f>
              <c:numCache>
                <c:formatCode>0</c:formatCode>
                <c:ptCount val="27"/>
                <c:pt idx="0">
                  <c:v>14.3</c:v>
                </c:pt>
                <c:pt idx="1">
                  <c:v>24.3</c:v>
                </c:pt>
                <c:pt idx="2">
                  <c:v>32.799999999999997</c:v>
                </c:pt>
                <c:pt idx="3">
                  <c:v>40</c:v>
                </c:pt>
                <c:pt idx="4">
                  <c:v>46.8</c:v>
                </c:pt>
                <c:pt idx="5">
                  <c:v>74.3</c:v>
                </c:pt>
                <c:pt idx="6">
                  <c:v>80.599999999999994</c:v>
                </c:pt>
                <c:pt idx="7">
                  <c:v>70.5</c:v>
                </c:pt>
                <c:pt idx="8">
                  <c:v>63.4</c:v>
                </c:pt>
                <c:pt idx="9">
                  <c:v>57.2</c:v>
                </c:pt>
                <c:pt idx="10">
                  <c:v>62.3</c:v>
                </c:pt>
                <c:pt idx="11">
                  <c:v>56</c:v>
                </c:pt>
                <c:pt idx="12">
                  <c:v>50.9</c:v>
                </c:pt>
                <c:pt idx="13">
                  <c:v>44.4</c:v>
                </c:pt>
                <c:pt idx="14">
                  <c:v>47</c:v>
                </c:pt>
                <c:pt idx="15">
                  <c:v>43.6</c:v>
                </c:pt>
                <c:pt idx="16">
                  <c:v>45.7</c:v>
                </c:pt>
                <c:pt idx="17">
                  <c:v>44.1</c:v>
                </c:pt>
                <c:pt idx="18">
                  <c:v>45.7</c:v>
                </c:pt>
                <c:pt idx="19">
                  <c:v>46.9</c:v>
                </c:pt>
                <c:pt idx="20">
                  <c:v>41.5</c:v>
                </c:pt>
                <c:pt idx="21">
                  <c:v>41.7</c:v>
                </c:pt>
                <c:pt idx="22">
                  <c:v>35.700000000000003</c:v>
                </c:pt>
                <c:pt idx="23">
                  <c:v>48.1</c:v>
                </c:pt>
                <c:pt idx="24">
                  <c:v>41.1</c:v>
                </c:pt>
                <c:pt idx="25">
                  <c:v>32.5</c:v>
                </c:pt>
                <c:pt idx="26">
                  <c:v>38.200000000000003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B-465A-A432-51A89FECCFD8}"/>
            </c:ext>
          </c:extLst>
        </c:ser>
        <c:ser>
          <c:idx val="1"/>
          <c:order val="1"/>
          <c:tx>
            <c:strRef>
              <c:f>'2025_11_01'!$B$6</c:f>
              <c:strCache>
                <c:ptCount val="1"/>
                <c:pt idx="0">
                  <c:v>PFV-ELROMERO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numRef>
              <c:f>'2025_11_05'!$C$114:$AC$114</c:f>
              <c:numCache>
                <c:formatCode>h:mm</c:formatCode>
                <c:ptCount val="27"/>
                <c:pt idx="0">
                  <c:v>0.30833333333333335</c:v>
                </c:pt>
                <c:pt idx="1">
                  <c:v>0.32361111111111113</c:v>
                </c:pt>
                <c:pt idx="2">
                  <c:v>0.33750000000000002</c:v>
                </c:pt>
                <c:pt idx="3">
                  <c:v>0.34791666666666665</c:v>
                </c:pt>
                <c:pt idx="4">
                  <c:v>0.36805555555555558</c:v>
                </c:pt>
                <c:pt idx="5">
                  <c:v>0.45555555555555555</c:v>
                </c:pt>
                <c:pt idx="6">
                  <c:v>0.46527777777777779</c:v>
                </c:pt>
                <c:pt idx="7">
                  <c:v>0.51458333333333328</c:v>
                </c:pt>
                <c:pt idx="8">
                  <c:v>0.51875000000000004</c:v>
                </c:pt>
                <c:pt idx="9">
                  <c:v>0.54652777777777772</c:v>
                </c:pt>
                <c:pt idx="10">
                  <c:v>0.55902777777777779</c:v>
                </c:pt>
                <c:pt idx="11">
                  <c:v>0.56180555555555556</c:v>
                </c:pt>
                <c:pt idx="12">
                  <c:v>0.57916666666666672</c:v>
                </c:pt>
                <c:pt idx="13">
                  <c:v>0.59027777777777779</c:v>
                </c:pt>
                <c:pt idx="14">
                  <c:v>0.59930555555555554</c:v>
                </c:pt>
                <c:pt idx="15">
                  <c:v>0.62152777777777779</c:v>
                </c:pt>
                <c:pt idx="16">
                  <c:v>0.64097222222222228</c:v>
                </c:pt>
                <c:pt idx="17">
                  <c:v>0.67291666666666672</c:v>
                </c:pt>
                <c:pt idx="18">
                  <c:v>0.68194444444444446</c:v>
                </c:pt>
                <c:pt idx="19">
                  <c:v>0.69444444444444442</c:v>
                </c:pt>
                <c:pt idx="20">
                  <c:v>0.72569444444444442</c:v>
                </c:pt>
                <c:pt idx="21">
                  <c:v>0.74513888888888891</c:v>
                </c:pt>
                <c:pt idx="22">
                  <c:v>0.75138888888888888</c:v>
                </c:pt>
                <c:pt idx="23">
                  <c:v>0.77430555555555558</c:v>
                </c:pt>
                <c:pt idx="24">
                  <c:v>0.78055555555555556</c:v>
                </c:pt>
                <c:pt idx="25">
                  <c:v>0.78541666666666665</c:v>
                </c:pt>
                <c:pt idx="26">
                  <c:v>0.79513888888888884</c:v>
                </c:pt>
              </c:numCache>
            </c:numRef>
          </c:cat>
          <c:val>
            <c:numRef>
              <c:f>'2025_11_05'!$C$116:$AC$116</c:f>
              <c:numCache>
                <c:formatCode>0</c:formatCode>
                <c:ptCount val="27"/>
                <c:pt idx="0">
                  <c:v>5.4</c:v>
                </c:pt>
                <c:pt idx="1">
                  <c:v>26.5</c:v>
                </c:pt>
                <c:pt idx="2">
                  <c:v>42.3</c:v>
                </c:pt>
                <c:pt idx="3">
                  <c:v>55</c:v>
                </c:pt>
                <c:pt idx="4">
                  <c:v>81.099999999999994</c:v>
                </c:pt>
                <c:pt idx="5">
                  <c:v>134.69999999999999</c:v>
                </c:pt>
                <c:pt idx="6">
                  <c:v>146.30000000000001</c:v>
                </c:pt>
                <c:pt idx="7">
                  <c:v>127.8</c:v>
                </c:pt>
                <c:pt idx="8">
                  <c:v>115</c:v>
                </c:pt>
                <c:pt idx="9">
                  <c:v>103.8</c:v>
                </c:pt>
                <c:pt idx="10">
                  <c:v>113</c:v>
                </c:pt>
                <c:pt idx="11">
                  <c:v>101.5</c:v>
                </c:pt>
                <c:pt idx="12">
                  <c:v>92.3</c:v>
                </c:pt>
                <c:pt idx="13">
                  <c:v>80.5</c:v>
                </c:pt>
                <c:pt idx="14">
                  <c:v>84.4</c:v>
                </c:pt>
                <c:pt idx="15">
                  <c:v>81.599999999999994</c:v>
                </c:pt>
                <c:pt idx="16">
                  <c:v>71.3</c:v>
                </c:pt>
                <c:pt idx="17">
                  <c:v>80</c:v>
                </c:pt>
                <c:pt idx="18">
                  <c:v>82.8</c:v>
                </c:pt>
                <c:pt idx="19">
                  <c:v>85</c:v>
                </c:pt>
                <c:pt idx="20">
                  <c:v>75.2</c:v>
                </c:pt>
                <c:pt idx="21">
                  <c:v>75.7</c:v>
                </c:pt>
                <c:pt idx="22">
                  <c:v>64.8</c:v>
                </c:pt>
                <c:pt idx="23">
                  <c:v>46.7</c:v>
                </c:pt>
                <c:pt idx="24">
                  <c:v>37.6</c:v>
                </c:pt>
                <c:pt idx="25">
                  <c:v>30</c:v>
                </c:pt>
                <c:pt idx="26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B-465A-A432-51A89FECCFD8}"/>
            </c:ext>
          </c:extLst>
        </c:ser>
        <c:ser>
          <c:idx val="2"/>
          <c:order val="2"/>
          <c:tx>
            <c:strRef>
              <c:f>'2025_11_01'!$B$7</c:f>
              <c:strCache>
                <c:ptCount val="1"/>
                <c:pt idx="0">
                  <c:v>PFV-LAHUELLA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numRef>
              <c:f>'2025_11_05'!$C$114:$AC$114</c:f>
              <c:numCache>
                <c:formatCode>h:mm</c:formatCode>
                <c:ptCount val="27"/>
                <c:pt idx="0">
                  <c:v>0.30833333333333335</c:v>
                </c:pt>
                <c:pt idx="1">
                  <c:v>0.32361111111111113</c:v>
                </c:pt>
                <c:pt idx="2">
                  <c:v>0.33750000000000002</c:v>
                </c:pt>
                <c:pt idx="3">
                  <c:v>0.34791666666666665</c:v>
                </c:pt>
                <c:pt idx="4">
                  <c:v>0.36805555555555558</c:v>
                </c:pt>
                <c:pt idx="5">
                  <c:v>0.45555555555555555</c:v>
                </c:pt>
                <c:pt idx="6">
                  <c:v>0.46527777777777779</c:v>
                </c:pt>
                <c:pt idx="7">
                  <c:v>0.51458333333333328</c:v>
                </c:pt>
                <c:pt idx="8">
                  <c:v>0.51875000000000004</c:v>
                </c:pt>
                <c:pt idx="9">
                  <c:v>0.54652777777777772</c:v>
                </c:pt>
                <c:pt idx="10">
                  <c:v>0.55902777777777779</c:v>
                </c:pt>
                <c:pt idx="11">
                  <c:v>0.56180555555555556</c:v>
                </c:pt>
                <c:pt idx="12">
                  <c:v>0.57916666666666672</c:v>
                </c:pt>
                <c:pt idx="13">
                  <c:v>0.59027777777777779</c:v>
                </c:pt>
                <c:pt idx="14">
                  <c:v>0.59930555555555554</c:v>
                </c:pt>
                <c:pt idx="15">
                  <c:v>0.62152777777777779</c:v>
                </c:pt>
                <c:pt idx="16">
                  <c:v>0.64097222222222228</c:v>
                </c:pt>
                <c:pt idx="17">
                  <c:v>0.67291666666666672</c:v>
                </c:pt>
                <c:pt idx="18">
                  <c:v>0.68194444444444446</c:v>
                </c:pt>
                <c:pt idx="19">
                  <c:v>0.69444444444444442</c:v>
                </c:pt>
                <c:pt idx="20">
                  <c:v>0.72569444444444442</c:v>
                </c:pt>
                <c:pt idx="21">
                  <c:v>0.74513888888888891</c:v>
                </c:pt>
                <c:pt idx="22">
                  <c:v>0.75138888888888888</c:v>
                </c:pt>
                <c:pt idx="23">
                  <c:v>0.77430555555555558</c:v>
                </c:pt>
                <c:pt idx="24">
                  <c:v>0.78055555555555556</c:v>
                </c:pt>
                <c:pt idx="25">
                  <c:v>0.78541666666666665</c:v>
                </c:pt>
                <c:pt idx="26">
                  <c:v>0.79513888888888884</c:v>
                </c:pt>
              </c:numCache>
            </c:numRef>
          </c:cat>
          <c:val>
            <c:numRef>
              <c:f>'2025_11_05'!$C$117:$AC$117</c:f>
              <c:numCache>
                <c:formatCode>0</c:formatCode>
                <c:ptCount val="27"/>
                <c:pt idx="0">
                  <c:v>10.5</c:v>
                </c:pt>
                <c:pt idx="1">
                  <c:v>19.100000000000001</c:v>
                </c:pt>
                <c:pt idx="2">
                  <c:v>25.8</c:v>
                </c:pt>
                <c:pt idx="3">
                  <c:v>31.5</c:v>
                </c:pt>
                <c:pt idx="4">
                  <c:v>36.799999999999997</c:v>
                </c:pt>
                <c:pt idx="5">
                  <c:v>58.4</c:v>
                </c:pt>
                <c:pt idx="6">
                  <c:v>63.4</c:v>
                </c:pt>
                <c:pt idx="7">
                  <c:v>55.4</c:v>
                </c:pt>
                <c:pt idx="8">
                  <c:v>49.8</c:v>
                </c:pt>
                <c:pt idx="9">
                  <c:v>45</c:v>
                </c:pt>
                <c:pt idx="10">
                  <c:v>49</c:v>
                </c:pt>
                <c:pt idx="11">
                  <c:v>44</c:v>
                </c:pt>
                <c:pt idx="12">
                  <c:v>40</c:v>
                </c:pt>
                <c:pt idx="13">
                  <c:v>34.9</c:v>
                </c:pt>
                <c:pt idx="14">
                  <c:v>37</c:v>
                </c:pt>
                <c:pt idx="15">
                  <c:v>34.299999999999997</c:v>
                </c:pt>
                <c:pt idx="16">
                  <c:v>36</c:v>
                </c:pt>
                <c:pt idx="17">
                  <c:v>34.700000000000003</c:v>
                </c:pt>
                <c:pt idx="18">
                  <c:v>35.9</c:v>
                </c:pt>
                <c:pt idx="19">
                  <c:v>36.9</c:v>
                </c:pt>
                <c:pt idx="20">
                  <c:v>32.6</c:v>
                </c:pt>
                <c:pt idx="21">
                  <c:v>32.799999999999997</c:v>
                </c:pt>
                <c:pt idx="22">
                  <c:v>28.1</c:v>
                </c:pt>
                <c:pt idx="23">
                  <c:v>37.799999999999997</c:v>
                </c:pt>
                <c:pt idx="24">
                  <c:v>32.299999999999997</c:v>
                </c:pt>
                <c:pt idx="25">
                  <c:v>25.5</c:v>
                </c:pt>
                <c:pt idx="26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CB-465A-A432-51A89FECC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538504"/>
        <c:axId val="1885703"/>
      </c:lineChart>
      <c:catAx>
        <c:axId val="2034538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3"/>
        <c:crosses val="autoZero"/>
        <c:auto val="1"/>
        <c:lblAlgn val="ctr"/>
        <c:lblOffset val="100"/>
        <c:noMultiLvlLbl val="0"/>
      </c:catAx>
      <c:valAx>
        <c:axId val="188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CONSIGNAS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'2025_11_01'!$B$5</c:f>
              <c:strCache>
                <c:ptCount val="1"/>
                <c:pt idx="0">
                  <c:v>PFV-ELPELICANO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numRef>
              <c:f>'2025_11_06'!C114:V114</c:f>
              <c:numCache>
                <c:formatCode>h:mm</c:formatCode>
                <c:ptCount val="20"/>
                <c:pt idx="0">
                  <c:v>0.30555555555555558</c:v>
                </c:pt>
                <c:pt idx="1">
                  <c:v>0.3215277777777778</c:v>
                </c:pt>
                <c:pt idx="2">
                  <c:v>0.3347222222222222</c:v>
                </c:pt>
                <c:pt idx="3">
                  <c:v>0.33819444444444446</c:v>
                </c:pt>
                <c:pt idx="4">
                  <c:v>0.34305555555555556</c:v>
                </c:pt>
                <c:pt idx="5">
                  <c:v>0.34861111111111109</c:v>
                </c:pt>
                <c:pt idx="6">
                  <c:v>0.35347222222222224</c:v>
                </c:pt>
                <c:pt idx="7">
                  <c:v>0.37569444444444444</c:v>
                </c:pt>
                <c:pt idx="8">
                  <c:v>0.37777777777777777</c:v>
                </c:pt>
                <c:pt idx="9">
                  <c:v>0.48194444444444445</c:v>
                </c:pt>
                <c:pt idx="10">
                  <c:v>0.52430555555555558</c:v>
                </c:pt>
                <c:pt idx="11">
                  <c:v>0.53541666666666665</c:v>
                </c:pt>
                <c:pt idx="12">
                  <c:v>0.56180555555555556</c:v>
                </c:pt>
                <c:pt idx="13">
                  <c:v>0.56666666666666665</c:v>
                </c:pt>
                <c:pt idx="14">
                  <c:v>0.56874999999999998</c:v>
                </c:pt>
                <c:pt idx="15">
                  <c:v>0.58819444444444446</c:v>
                </c:pt>
                <c:pt idx="16">
                  <c:v>0.6166666666666667</c:v>
                </c:pt>
                <c:pt idx="17">
                  <c:v>0.63472222222222219</c:v>
                </c:pt>
                <c:pt idx="18">
                  <c:v>0.65</c:v>
                </c:pt>
                <c:pt idx="19">
                  <c:v>0.74444444444444446</c:v>
                </c:pt>
              </c:numCache>
            </c:numRef>
          </c:cat>
          <c:val>
            <c:numRef>
              <c:f>'2025_11_06'!C115:V115</c:f>
              <c:numCache>
                <c:formatCode>0</c:formatCode>
                <c:ptCount val="20"/>
                <c:pt idx="0">
                  <c:v>6.5</c:v>
                </c:pt>
                <c:pt idx="1">
                  <c:v>21.9</c:v>
                </c:pt>
                <c:pt idx="2">
                  <c:v>37.200000000000003</c:v>
                </c:pt>
                <c:pt idx="3">
                  <c:v>45.5</c:v>
                </c:pt>
                <c:pt idx="4">
                  <c:v>54.3</c:v>
                </c:pt>
                <c:pt idx="5">
                  <c:v>75.3</c:v>
                </c:pt>
                <c:pt idx="6">
                  <c:v>80.7</c:v>
                </c:pt>
                <c:pt idx="7">
                  <c:v>27.7</c:v>
                </c:pt>
                <c:pt idx="8">
                  <c:v>86.9</c:v>
                </c:pt>
                <c:pt idx="9">
                  <c:v>73.3</c:v>
                </c:pt>
                <c:pt idx="10">
                  <c:v>96.4</c:v>
                </c:pt>
                <c:pt idx="11">
                  <c:v>64.8</c:v>
                </c:pt>
                <c:pt idx="12">
                  <c:v>91.2</c:v>
                </c:pt>
                <c:pt idx="13">
                  <c:v>76.2</c:v>
                </c:pt>
                <c:pt idx="14">
                  <c:v>68.2</c:v>
                </c:pt>
                <c:pt idx="15">
                  <c:v>59.9</c:v>
                </c:pt>
                <c:pt idx="16">
                  <c:v>53.6</c:v>
                </c:pt>
                <c:pt idx="17">
                  <c:v>58.5</c:v>
                </c:pt>
                <c:pt idx="18">
                  <c:v>49.1</c:v>
                </c:pt>
                <c:pt idx="19">
                  <c:v>17.8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9-4011-9A1A-832F0B1D1194}"/>
            </c:ext>
          </c:extLst>
        </c:ser>
        <c:ser>
          <c:idx val="1"/>
          <c:order val="1"/>
          <c:tx>
            <c:strRef>
              <c:f>'2025_11_01'!$B$6</c:f>
              <c:strCache>
                <c:ptCount val="1"/>
                <c:pt idx="0">
                  <c:v>PFV-ELROMERO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numRef>
              <c:f>'2025_11_06'!C114:V114</c:f>
              <c:numCache>
                <c:formatCode>h:mm</c:formatCode>
                <c:ptCount val="20"/>
                <c:pt idx="0">
                  <c:v>0.30555555555555558</c:v>
                </c:pt>
                <c:pt idx="1">
                  <c:v>0.3215277777777778</c:v>
                </c:pt>
                <c:pt idx="2">
                  <c:v>0.3347222222222222</c:v>
                </c:pt>
                <c:pt idx="3">
                  <c:v>0.33819444444444446</c:v>
                </c:pt>
                <c:pt idx="4">
                  <c:v>0.34305555555555556</c:v>
                </c:pt>
                <c:pt idx="5">
                  <c:v>0.34861111111111109</c:v>
                </c:pt>
                <c:pt idx="6">
                  <c:v>0.35347222222222224</c:v>
                </c:pt>
                <c:pt idx="7">
                  <c:v>0.37569444444444444</c:v>
                </c:pt>
                <c:pt idx="8">
                  <c:v>0.37777777777777777</c:v>
                </c:pt>
                <c:pt idx="9">
                  <c:v>0.48194444444444445</c:v>
                </c:pt>
                <c:pt idx="10">
                  <c:v>0.52430555555555558</c:v>
                </c:pt>
                <c:pt idx="11">
                  <c:v>0.53541666666666665</c:v>
                </c:pt>
                <c:pt idx="12">
                  <c:v>0.56180555555555556</c:v>
                </c:pt>
                <c:pt idx="13">
                  <c:v>0.56666666666666665</c:v>
                </c:pt>
                <c:pt idx="14">
                  <c:v>0.56874999999999998</c:v>
                </c:pt>
                <c:pt idx="15">
                  <c:v>0.58819444444444446</c:v>
                </c:pt>
                <c:pt idx="16">
                  <c:v>0.6166666666666667</c:v>
                </c:pt>
                <c:pt idx="17">
                  <c:v>0.63472222222222219</c:v>
                </c:pt>
                <c:pt idx="18">
                  <c:v>0.65</c:v>
                </c:pt>
                <c:pt idx="19">
                  <c:v>0.74444444444444446</c:v>
                </c:pt>
              </c:numCache>
            </c:numRef>
          </c:cat>
          <c:val>
            <c:numRef>
              <c:f>'2025_11_06'!C116:V116</c:f>
              <c:numCache>
                <c:formatCode>0</c:formatCode>
                <c:ptCount val="20"/>
                <c:pt idx="0">
                  <c:v>6.5</c:v>
                </c:pt>
                <c:pt idx="1">
                  <c:v>26</c:v>
                </c:pt>
                <c:pt idx="2">
                  <c:v>41.6</c:v>
                </c:pt>
                <c:pt idx="3">
                  <c:v>45.6</c:v>
                </c:pt>
                <c:pt idx="4">
                  <c:v>51.2</c:v>
                </c:pt>
                <c:pt idx="5">
                  <c:v>60.9</c:v>
                </c:pt>
                <c:pt idx="6">
                  <c:v>65.8</c:v>
                </c:pt>
                <c:pt idx="7">
                  <c:v>44</c:v>
                </c:pt>
                <c:pt idx="8">
                  <c:v>40.6</c:v>
                </c:pt>
                <c:pt idx="9">
                  <c:v>126.6</c:v>
                </c:pt>
                <c:pt idx="10">
                  <c:v>70.7</c:v>
                </c:pt>
                <c:pt idx="11">
                  <c:v>116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115.2</c:v>
                </c:pt>
                <c:pt idx="16">
                  <c:v>98.8</c:v>
                </c:pt>
                <c:pt idx="17">
                  <c:v>95.4</c:v>
                </c:pt>
                <c:pt idx="18">
                  <c:v>90.6</c:v>
                </c:pt>
                <c:pt idx="19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9-4011-9A1A-832F0B1D1194}"/>
            </c:ext>
          </c:extLst>
        </c:ser>
        <c:ser>
          <c:idx val="2"/>
          <c:order val="2"/>
          <c:tx>
            <c:strRef>
              <c:f>'2025_11_01'!$B$7</c:f>
              <c:strCache>
                <c:ptCount val="1"/>
                <c:pt idx="0">
                  <c:v>PFV-LAHUELLA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numRef>
              <c:f>'2025_11_06'!C114:V114</c:f>
              <c:numCache>
                <c:formatCode>h:mm</c:formatCode>
                <c:ptCount val="20"/>
                <c:pt idx="0">
                  <c:v>0.30555555555555558</c:v>
                </c:pt>
                <c:pt idx="1">
                  <c:v>0.3215277777777778</c:v>
                </c:pt>
                <c:pt idx="2">
                  <c:v>0.3347222222222222</c:v>
                </c:pt>
                <c:pt idx="3">
                  <c:v>0.33819444444444446</c:v>
                </c:pt>
                <c:pt idx="4">
                  <c:v>0.34305555555555556</c:v>
                </c:pt>
                <c:pt idx="5">
                  <c:v>0.34861111111111109</c:v>
                </c:pt>
                <c:pt idx="6">
                  <c:v>0.35347222222222224</c:v>
                </c:pt>
                <c:pt idx="7">
                  <c:v>0.37569444444444444</c:v>
                </c:pt>
                <c:pt idx="8">
                  <c:v>0.37777777777777777</c:v>
                </c:pt>
                <c:pt idx="9">
                  <c:v>0.48194444444444445</c:v>
                </c:pt>
                <c:pt idx="10">
                  <c:v>0.52430555555555558</c:v>
                </c:pt>
                <c:pt idx="11">
                  <c:v>0.53541666666666665</c:v>
                </c:pt>
                <c:pt idx="12">
                  <c:v>0.56180555555555556</c:v>
                </c:pt>
                <c:pt idx="13">
                  <c:v>0.56666666666666665</c:v>
                </c:pt>
                <c:pt idx="14">
                  <c:v>0.56874999999999998</c:v>
                </c:pt>
                <c:pt idx="15">
                  <c:v>0.58819444444444446</c:v>
                </c:pt>
                <c:pt idx="16">
                  <c:v>0.6166666666666667</c:v>
                </c:pt>
                <c:pt idx="17">
                  <c:v>0.63472222222222219</c:v>
                </c:pt>
                <c:pt idx="18">
                  <c:v>0.65</c:v>
                </c:pt>
                <c:pt idx="19">
                  <c:v>0.74444444444444446</c:v>
                </c:pt>
              </c:numCache>
            </c:numRef>
          </c:cat>
          <c:val>
            <c:numRef>
              <c:f>'2025_11_06'!C117:V117</c:f>
              <c:numCache>
                <c:formatCode>0</c:formatCode>
                <c:ptCount val="20"/>
                <c:pt idx="0">
                  <c:v>3.4</c:v>
                </c:pt>
                <c:pt idx="1">
                  <c:v>22.3</c:v>
                </c:pt>
                <c:pt idx="2">
                  <c:v>29.2</c:v>
                </c:pt>
                <c:pt idx="3">
                  <c:v>35.799999999999997</c:v>
                </c:pt>
                <c:pt idx="4">
                  <c:v>42.5</c:v>
                </c:pt>
                <c:pt idx="5">
                  <c:v>56.8</c:v>
                </c:pt>
                <c:pt idx="6">
                  <c:v>64.400000000000006</c:v>
                </c:pt>
                <c:pt idx="7">
                  <c:v>18.3</c:v>
                </c:pt>
                <c:pt idx="8">
                  <c:v>18.899999999999999</c:v>
                </c:pt>
                <c:pt idx="9">
                  <c:v>50</c:v>
                </c:pt>
                <c:pt idx="10">
                  <c:v>75.8</c:v>
                </c:pt>
                <c:pt idx="11">
                  <c:v>50.9</c:v>
                </c:pt>
                <c:pt idx="12">
                  <c:v>71.8</c:v>
                </c:pt>
                <c:pt idx="13">
                  <c:v>59.9</c:v>
                </c:pt>
                <c:pt idx="14">
                  <c:v>53.6</c:v>
                </c:pt>
                <c:pt idx="15">
                  <c:v>47.1</c:v>
                </c:pt>
                <c:pt idx="16">
                  <c:v>42.2</c:v>
                </c:pt>
                <c:pt idx="17">
                  <c:v>46</c:v>
                </c:pt>
                <c:pt idx="18">
                  <c:v>38.6</c:v>
                </c:pt>
                <c:pt idx="19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E9-4011-9A1A-832F0B1D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538504"/>
        <c:axId val="1885703"/>
      </c:lineChart>
      <c:catAx>
        <c:axId val="2034538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3"/>
        <c:crosses val="autoZero"/>
        <c:auto val="1"/>
        <c:lblAlgn val="ctr"/>
        <c:lblOffset val="100"/>
        <c:noMultiLvlLbl val="0"/>
      </c:catAx>
      <c:valAx>
        <c:axId val="188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00300" cy="66675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23D42223-8B93-4FD5-8139-C45B3671B34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400300" cy="666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14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4</xdr:col>
      <xdr:colOff>57150</xdr:colOff>
      <xdr:row>13</xdr:row>
      <xdr:rowOff>28575</xdr:rowOff>
    </xdr:from>
    <xdr:to>
      <xdr:col>13</xdr:col>
      <xdr:colOff>66675</xdr:colOff>
      <xdr:row>31</xdr:row>
      <xdr:rowOff>28575</xdr:rowOff>
    </xdr:to>
    <xdr:graphicFrame macro="">
      <xdr:nvGraphicFramePr>
        <xdr:cNvPr id="54" name="Gráfico 14">
          <a:extLst>
            <a:ext uri="{FF2B5EF4-FFF2-40B4-BE49-F238E27FC236}">
              <a16:creationId xmlns:a16="http://schemas.microsoft.com/office/drawing/2014/main" id="{EC6E1D87-9E2A-79F2-7E62-73B1D1666B6D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14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3</xdr:col>
      <xdr:colOff>904875</xdr:colOff>
      <xdr:row>13</xdr:row>
      <xdr:rowOff>38100</xdr:rowOff>
    </xdr:from>
    <xdr:to>
      <xdr:col>16</xdr:col>
      <xdr:colOff>95250</xdr:colOff>
      <xdr:row>31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FBC463-7518-4A7B-8D86-312A0B282624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14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3</xdr:col>
      <xdr:colOff>685800</xdr:colOff>
      <xdr:row>13</xdr:row>
      <xdr:rowOff>152400</xdr:rowOff>
    </xdr:from>
    <xdr:to>
      <xdr:col>15</xdr:col>
      <xdr:colOff>809625</xdr:colOff>
      <xdr:row>31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57F9BC-95C4-4D75-9650-6B093DAF1E85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14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4</xdr:col>
      <xdr:colOff>0</xdr:colOff>
      <xdr:row>14</xdr:row>
      <xdr:rowOff>0</xdr:rowOff>
    </xdr:from>
    <xdr:to>
      <xdr:col>13</xdr:col>
      <xdr:colOff>9525</xdr:colOff>
      <xdr:row>32</xdr:row>
      <xdr:rowOff>0</xdr:rowOff>
    </xdr:to>
    <xdr:graphicFrame macro="">
      <xdr:nvGraphicFramePr>
        <xdr:cNvPr id="22" name="Gráfico 4">
          <a:extLst>
            <a:ext uri="{FF2B5EF4-FFF2-40B4-BE49-F238E27FC236}">
              <a16:creationId xmlns:a16="http://schemas.microsoft.com/office/drawing/2014/main" id="{F9394B37-0751-4C9D-8D30-996CF7FE1E3C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14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4</xdr:col>
      <xdr:colOff>0</xdr:colOff>
      <xdr:row>14</xdr:row>
      <xdr:rowOff>0</xdr:rowOff>
    </xdr:from>
    <xdr:to>
      <xdr:col>13</xdr:col>
      <xdr:colOff>9525</xdr:colOff>
      <xdr:row>32</xdr:row>
      <xdr:rowOff>0</xdr:rowOff>
    </xdr:to>
    <xdr:graphicFrame macro="">
      <xdr:nvGraphicFramePr>
        <xdr:cNvPr id="22" name="Gráfico 7">
          <a:extLst>
            <a:ext uri="{FF2B5EF4-FFF2-40B4-BE49-F238E27FC236}">
              <a16:creationId xmlns:a16="http://schemas.microsoft.com/office/drawing/2014/main" id="{B7D5B99E-729F-4B6D-A0DC-0E0078604335}"/>
            </a:ext>
            <a:ext uri="{147F2762-F138-4A5C-976F-8EAC2B608ADB}">
              <a16:predDERef xmlns:a16="http://schemas.microsoft.com/office/drawing/2014/main" pre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1435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EA402239-2C2C-4EEE-98BD-2C448E4C62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86000" cy="514350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14</xdr:row>
      <xdr:rowOff>0</xdr:rowOff>
    </xdr:from>
    <xdr:to>
      <xdr:col>13</xdr:col>
      <xdr:colOff>9525</xdr:colOff>
      <xdr:row>32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13ADB5-E213-4829-90C1-C9A566F7A038}"/>
            </a:ext>
            <a:ext uri="{147F2762-F138-4A5C-976F-8EAC2B608ADB}">
              <a16:predDERef xmlns:a16="http://schemas.microsoft.com/office/drawing/2014/main" pred="{EA402239-2C2C-4EEE-98BD-2C448E4C6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30D6-4824-4C2B-96C7-46E2042C4A91}">
  <dimension ref="A3:E35"/>
  <sheetViews>
    <sheetView workbookViewId="0">
      <selection activeCell="D41" sqref="D41"/>
    </sheetView>
  </sheetViews>
  <sheetFormatPr defaultColWidth="11.42578125" defaultRowHeight="15"/>
  <cols>
    <col min="1" max="3" width="11.42578125" style="15"/>
    <col min="4" max="4" width="15.140625" style="15" customWidth="1"/>
    <col min="5" max="5" width="54.28515625" style="15" customWidth="1"/>
    <col min="6" max="16384" width="11.42578125" style="15"/>
  </cols>
  <sheetData>
    <row r="3" spans="1:5" ht="34.5" customHeight="1"/>
    <row r="4" spans="1:5" ht="34.5" customHeight="1"/>
    <row r="5" spans="1:5">
      <c r="A5" s="44" t="s">
        <v>0</v>
      </c>
      <c r="B5" s="45" t="s">
        <v>1</v>
      </c>
      <c r="C5" s="44" t="s">
        <v>2</v>
      </c>
      <c r="D5" s="44" t="s">
        <v>3</v>
      </c>
      <c r="E5" s="44" t="s">
        <v>4</v>
      </c>
    </row>
    <row r="6" spans="1:5">
      <c r="A6" s="42">
        <v>45962</v>
      </c>
      <c r="B6" s="47">
        <f>'2025_11_01'!$B$12</f>
        <v>-2.6711523699865698E-2</v>
      </c>
      <c r="C6" s="46">
        <f>'2025_11_01'!$B$13</f>
        <v>80</v>
      </c>
      <c r="D6" s="46">
        <f>'2025_11_01'!$B$14</f>
        <v>-2.1369218959892557</v>
      </c>
    </row>
    <row r="7" spans="1:5">
      <c r="A7" s="42">
        <v>45963</v>
      </c>
      <c r="B7" s="47">
        <f>'2025_11_02'!B12</f>
        <v>-1.7181413116484315E-2</v>
      </c>
      <c r="C7" s="46">
        <f>'2025_11_02'!B13</f>
        <v>80</v>
      </c>
      <c r="D7" s="46">
        <f>'2025_11_02'!B14</f>
        <v>-1.3745130493187452</v>
      </c>
    </row>
    <row r="8" spans="1:5">
      <c r="A8" s="42">
        <v>45964</v>
      </c>
      <c r="B8" s="47">
        <f>'2025_11_03'!$B$12</f>
        <v>3.8664303876415024E-3</v>
      </c>
      <c r="C8" s="43">
        <f>'2025_11_03'!$B$13</f>
        <v>80</v>
      </c>
      <c r="D8" s="43">
        <f>'2025_11_03'!$B$14</f>
        <v>0.30931443101132017</v>
      </c>
    </row>
    <row r="9" spans="1:5">
      <c r="A9" s="42">
        <v>45965</v>
      </c>
      <c r="B9" s="47">
        <f>'2025_11_04'!$B$12</f>
        <v>4.4131074889656514E-2</v>
      </c>
      <c r="C9" s="43">
        <f>'2025_11_04'!$B$13</f>
        <v>80</v>
      </c>
      <c r="D9" s="43">
        <f>'2025_11_04'!$B$14</f>
        <v>3.530485991172521</v>
      </c>
    </row>
    <row r="10" spans="1:5">
      <c r="A10" s="42">
        <v>45966</v>
      </c>
      <c r="B10" s="47">
        <f>'2025_11_05'!B12</f>
        <v>5.1092310736902673E-2</v>
      </c>
      <c r="C10" s="43">
        <f>'2025_11_05'!B13</f>
        <v>80</v>
      </c>
      <c r="D10" s="43">
        <f>'2025_11_05'!B14</f>
        <v>4.0873848589522135</v>
      </c>
    </row>
    <row r="11" spans="1:5">
      <c r="A11" s="42">
        <v>45967</v>
      </c>
      <c r="B11" s="47">
        <f>'2025_11_06'!B12</f>
        <v>-1.7003184369602749E-2</v>
      </c>
      <c r="C11" s="43">
        <f>'2025_11_06'!B13</f>
        <v>80</v>
      </c>
      <c r="D11" s="43">
        <f>'2025_11_06'!B14</f>
        <v>-1.3602547495682198</v>
      </c>
    </row>
    <row r="12" spans="1:5">
      <c r="A12" s="42">
        <v>45968</v>
      </c>
    </row>
    <row r="13" spans="1:5">
      <c r="A13" s="42">
        <v>45969</v>
      </c>
    </row>
    <row r="14" spans="1:5">
      <c r="A14" s="42">
        <v>45970</v>
      </c>
    </row>
    <row r="15" spans="1:5">
      <c r="A15" s="42">
        <v>45971</v>
      </c>
    </row>
    <row r="16" spans="1:5">
      <c r="A16" s="42">
        <v>45972</v>
      </c>
    </row>
    <row r="17" spans="1:1">
      <c r="A17" s="42">
        <v>45973</v>
      </c>
    </row>
    <row r="18" spans="1:1">
      <c r="A18" s="42">
        <v>45974</v>
      </c>
    </row>
    <row r="19" spans="1:1">
      <c r="A19" s="42">
        <v>45975</v>
      </c>
    </row>
    <row r="20" spans="1:1">
      <c r="A20" s="42">
        <v>45976</v>
      </c>
    </row>
    <row r="21" spans="1:1">
      <c r="A21" s="42">
        <v>45977</v>
      </c>
    </row>
    <row r="22" spans="1:1">
      <c r="A22" s="42">
        <v>45978</v>
      </c>
    </row>
    <row r="23" spans="1:1">
      <c r="A23" s="42">
        <v>45979</v>
      </c>
    </row>
    <row r="24" spans="1:1">
      <c r="A24" s="42">
        <v>45980</v>
      </c>
    </row>
    <row r="25" spans="1:1">
      <c r="A25" s="42">
        <v>45981</v>
      </c>
    </row>
    <row r="26" spans="1:1">
      <c r="A26" s="42">
        <v>45982</v>
      </c>
    </row>
    <row r="27" spans="1:1">
      <c r="A27" s="42">
        <v>45983</v>
      </c>
    </row>
    <row r="28" spans="1:1">
      <c r="A28" s="42">
        <v>45984</v>
      </c>
    </row>
    <row r="29" spans="1:1">
      <c r="A29" s="42">
        <v>45985</v>
      </c>
    </row>
    <row r="30" spans="1:1">
      <c r="A30" s="42">
        <v>45986</v>
      </c>
    </row>
    <row r="31" spans="1:1">
      <c r="A31" s="42">
        <v>45987</v>
      </c>
    </row>
    <row r="32" spans="1:1">
      <c r="A32" s="42">
        <v>45988</v>
      </c>
    </row>
    <row r="33" spans="1:1">
      <c r="A33" s="42">
        <v>45989</v>
      </c>
    </row>
    <row r="34" spans="1:1">
      <c r="A34" s="42">
        <v>45990</v>
      </c>
    </row>
    <row r="35" spans="1:1">
      <c r="A35" s="42">
        <v>45991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20"/>
  <sheetViews>
    <sheetView topLeftCell="A11" zoomScaleNormal="100" workbookViewId="0">
      <selection activeCell="J21" sqref="J21"/>
    </sheetView>
  </sheetViews>
  <sheetFormatPr defaultColWidth="9.140625" defaultRowHeight="15"/>
  <cols>
    <col min="1" max="1" width="15" customWidth="1"/>
    <col min="2" max="2" width="25" customWidth="1"/>
    <col min="3" max="145" width="14" customWidth="1"/>
    <col min="146" max="146" width="14.85546875" customWidth="1"/>
    <col min="147" max="147" width="13.7109375" customWidth="1"/>
    <col min="148" max="148" width="13.42578125" customWidth="1"/>
    <col min="149" max="149" width="17.85546875" customWidth="1"/>
  </cols>
  <sheetData>
    <row r="1" spans="1:149" ht="27" customHeight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</row>
    <row r="2" spans="1:149" ht="27" customHeight="1" thickBot="1">
      <c r="A2" s="2"/>
      <c r="D2" s="18"/>
    </row>
    <row r="3" spans="1:149" ht="16.5" thickBot="1">
      <c r="A3" s="58" t="s">
        <v>5</v>
      </c>
      <c r="B3" s="59" t="s">
        <v>6</v>
      </c>
      <c r="C3" s="55">
        <v>0.30972222222222223</v>
      </c>
      <c r="D3" s="56"/>
      <c r="E3" s="56"/>
      <c r="F3" s="56"/>
      <c r="G3" s="56"/>
      <c r="H3" s="56"/>
      <c r="I3" s="57"/>
      <c r="J3" s="52">
        <v>0.31874999999999998</v>
      </c>
      <c r="K3" s="53"/>
      <c r="L3" s="53"/>
      <c r="M3" s="53"/>
      <c r="N3" s="53"/>
      <c r="O3" s="53"/>
      <c r="P3" s="54"/>
      <c r="Q3" s="55">
        <v>0.32222222222222224</v>
      </c>
      <c r="R3" s="56"/>
      <c r="S3" s="56"/>
      <c r="T3" s="56"/>
      <c r="U3" s="56"/>
      <c r="V3" s="56"/>
      <c r="W3" s="57"/>
      <c r="X3" s="52">
        <v>0.32569444444444445</v>
      </c>
      <c r="Y3" s="53"/>
      <c r="Z3" s="53"/>
      <c r="AA3" s="53"/>
      <c r="AB3" s="53"/>
      <c r="AC3" s="53"/>
      <c r="AD3" s="54"/>
      <c r="AE3" s="52">
        <v>0.32777777777777778</v>
      </c>
      <c r="AF3" s="53"/>
      <c r="AG3" s="53"/>
      <c r="AH3" s="53"/>
      <c r="AI3" s="53"/>
      <c r="AJ3" s="53"/>
      <c r="AK3" s="54"/>
      <c r="AL3" s="55">
        <v>0.34444444444444444</v>
      </c>
      <c r="AM3" s="56"/>
      <c r="AN3" s="56"/>
      <c r="AO3" s="56"/>
      <c r="AP3" s="56"/>
      <c r="AQ3" s="56"/>
      <c r="AR3" s="57"/>
      <c r="AS3" s="51">
        <v>0.34791666666666665</v>
      </c>
      <c r="AT3" s="65"/>
      <c r="AU3" s="66"/>
      <c r="AV3" s="16"/>
      <c r="AW3" s="16"/>
      <c r="AX3" s="16"/>
      <c r="AY3" s="16"/>
      <c r="AZ3" s="51">
        <v>0.3527777777777778</v>
      </c>
      <c r="BA3" s="65"/>
      <c r="BB3" s="66"/>
      <c r="BC3" s="16"/>
      <c r="BD3" s="16"/>
      <c r="BE3" s="16"/>
      <c r="BF3" s="16"/>
      <c r="BG3" s="51">
        <v>0.41875000000000001</v>
      </c>
      <c r="BH3" s="65"/>
      <c r="BI3" s="66"/>
      <c r="BJ3" s="16"/>
      <c r="BK3" s="16"/>
      <c r="BL3" s="16"/>
      <c r="BM3" s="16"/>
      <c r="BN3" s="51">
        <v>0.43888888888888888</v>
      </c>
      <c r="BO3" s="65"/>
      <c r="BP3" s="66"/>
      <c r="BQ3" s="16"/>
      <c r="BR3" s="16"/>
      <c r="BS3" s="16"/>
      <c r="BT3" s="16"/>
      <c r="BU3" s="51">
        <v>0.49791666666666667</v>
      </c>
      <c r="BV3" s="65"/>
      <c r="BW3" s="66"/>
      <c r="BX3" s="16"/>
      <c r="BY3" s="16"/>
      <c r="BZ3" s="16"/>
      <c r="CA3" s="16"/>
      <c r="CB3" s="51">
        <v>0.50902777777777775</v>
      </c>
      <c r="CC3" s="65"/>
      <c r="CD3" s="66"/>
      <c r="CE3" s="16"/>
      <c r="CF3" s="16"/>
      <c r="CG3" s="16"/>
      <c r="CH3" s="16"/>
      <c r="CI3" s="51">
        <v>0.52152777777777781</v>
      </c>
      <c r="CJ3" s="65"/>
      <c r="CK3" s="66"/>
      <c r="CL3" s="16"/>
      <c r="CM3" s="16"/>
      <c r="CN3" s="16"/>
      <c r="CO3" s="16"/>
      <c r="CP3" s="51">
        <v>0.56388888888888888</v>
      </c>
      <c r="CQ3" s="65"/>
      <c r="CR3" s="66"/>
      <c r="CS3" s="16"/>
      <c r="CT3" s="16"/>
      <c r="CU3" s="16"/>
      <c r="CV3" s="16"/>
      <c r="CW3" s="51">
        <v>0.6333333333333333</v>
      </c>
      <c r="CX3" s="65"/>
      <c r="CY3" s="66"/>
      <c r="CZ3" s="16"/>
      <c r="DA3" s="16"/>
      <c r="DB3" s="16"/>
      <c r="DC3" s="16"/>
      <c r="DD3" s="51">
        <v>0.70277777777777772</v>
      </c>
      <c r="DE3" s="65"/>
      <c r="DF3" s="66"/>
      <c r="DG3" s="16"/>
      <c r="DH3" s="16"/>
      <c r="DI3" s="16"/>
      <c r="DJ3" s="16"/>
      <c r="DK3" s="51">
        <v>0.70902777777777781</v>
      </c>
      <c r="DL3" s="65"/>
      <c r="DM3" s="66"/>
      <c r="DN3" s="16"/>
      <c r="DO3" s="16"/>
      <c r="DP3" s="16"/>
      <c r="DQ3" s="16"/>
      <c r="DR3" s="51">
        <v>0.72361111111111109</v>
      </c>
      <c r="DS3" s="65"/>
      <c r="DT3" s="66"/>
      <c r="DU3" s="16"/>
      <c r="DV3" s="16"/>
      <c r="DW3" s="16"/>
      <c r="DX3" s="16"/>
      <c r="DY3" s="51">
        <v>0.79097222222222219</v>
      </c>
      <c r="DZ3" s="65"/>
      <c r="EA3" s="66"/>
      <c r="EB3" s="16"/>
      <c r="EC3" s="16"/>
      <c r="ED3" s="16"/>
      <c r="EE3" s="16"/>
      <c r="EF3" s="51">
        <v>0.79513888888888884</v>
      </c>
      <c r="EG3" s="65"/>
      <c r="EH3" s="66"/>
      <c r="EI3" s="16"/>
      <c r="EJ3" s="16"/>
      <c r="EK3" s="16"/>
      <c r="EL3" s="16"/>
      <c r="EM3" s="51">
        <v>0.79722222222222228</v>
      </c>
      <c r="EN3" s="65"/>
      <c r="EO3" s="66"/>
      <c r="EP3" s="16"/>
      <c r="EQ3" s="16"/>
      <c r="ER3" s="16"/>
      <c r="ES3" s="16"/>
    </row>
    <row r="4" spans="1:149" ht="64.5" thickBot="1">
      <c r="A4" s="67"/>
      <c r="B4" s="67"/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1" t="s">
        <v>7</v>
      </c>
      <c r="K4" s="31" t="s">
        <v>8</v>
      </c>
      <c r="L4" s="31" t="s">
        <v>9</v>
      </c>
      <c r="M4" s="32" t="s">
        <v>10</v>
      </c>
      <c r="N4" s="32" t="s">
        <v>11</v>
      </c>
      <c r="O4" s="32" t="s">
        <v>12</v>
      </c>
      <c r="P4" s="32" t="s">
        <v>13</v>
      </c>
      <c r="Q4" s="34" t="s">
        <v>7</v>
      </c>
      <c r="R4" s="34" t="s">
        <v>8</v>
      </c>
      <c r="S4" s="34" t="s">
        <v>9</v>
      </c>
      <c r="T4" s="30" t="s">
        <v>10</v>
      </c>
      <c r="U4" s="30" t="s">
        <v>11</v>
      </c>
      <c r="V4" s="30" t="s">
        <v>12</v>
      </c>
      <c r="W4" s="30" t="s">
        <v>13</v>
      </c>
      <c r="X4" s="31" t="s">
        <v>7</v>
      </c>
      <c r="Y4" s="31" t="s">
        <v>8</v>
      </c>
      <c r="Z4" s="31" t="s">
        <v>9</v>
      </c>
      <c r="AA4" s="32" t="s">
        <v>10</v>
      </c>
      <c r="AB4" s="32" t="s">
        <v>11</v>
      </c>
      <c r="AC4" s="32" t="s">
        <v>12</v>
      </c>
      <c r="AD4" s="32" t="s">
        <v>13</v>
      </c>
      <c r="AE4" s="34" t="s">
        <v>7</v>
      </c>
      <c r="AF4" s="34" t="s">
        <v>8</v>
      </c>
      <c r="AG4" s="34" t="s">
        <v>9</v>
      </c>
      <c r="AH4" s="30" t="s">
        <v>10</v>
      </c>
      <c r="AI4" s="30" t="s">
        <v>11</v>
      </c>
      <c r="AJ4" s="30" t="s">
        <v>12</v>
      </c>
      <c r="AK4" s="30" t="s">
        <v>13</v>
      </c>
      <c r="AL4" s="5" t="s">
        <v>7</v>
      </c>
      <c r="AM4" s="5" t="s">
        <v>8</v>
      </c>
      <c r="AN4" s="5" t="s">
        <v>9</v>
      </c>
      <c r="AO4" s="30" t="s">
        <v>10</v>
      </c>
      <c r="AP4" s="30" t="s">
        <v>11</v>
      </c>
      <c r="AQ4" s="30" t="s">
        <v>12</v>
      </c>
      <c r="AR4" s="30" t="s">
        <v>13</v>
      </c>
      <c r="AS4" s="5" t="s">
        <v>7</v>
      </c>
      <c r="AT4" s="5" t="s">
        <v>8</v>
      </c>
      <c r="AU4" s="5" t="s">
        <v>9</v>
      </c>
      <c r="AV4" s="30" t="s">
        <v>10</v>
      </c>
      <c r="AW4" s="30" t="s">
        <v>11</v>
      </c>
      <c r="AX4" s="30" t="s">
        <v>12</v>
      </c>
      <c r="AY4" s="30" t="s">
        <v>13</v>
      </c>
      <c r="AZ4" s="5" t="s">
        <v>7</v>
      </c>
      <c r="BA4" s="5" t="s">
        <v>8</v>
      </c>
      <c r="BB4" s="5" t="s">
        <v>9</v>
      </c>
      <c r="BC4" s="30" t="s">
        <v>10</v>
      </c>
      <c r="BD4" s="30" t="s">
        <v>11</v>
      </c>
      <c r="BE4" s="30" t="s">
        <v>12</v>
      </c>
      <c r="BF4" s="30" t="s">
        <v>13</v>
      </c>
      <c r="BG4" s="5" t="s">
        <v>14</v>
      </c>
      <c r="BH4" s="5" t="s">
        <v>15</v>
      </c>
      <c r="BI4" s="5" t="s">
        <v>16</v>
      </c>
      <c r="BJ4" s="30" t="s">
        <v>10</v>
      </c>
      <c r="BK4" s="30" t="s">
        <v>11</v>
      </c>
      <c r="BL4" s="30" t="s">
        <v>12</v>
      </c>
      <c r="BM4" s="30" t="s">
        <v>13</v>
      </c>
      <c r="BN4" s="5" t="s">
        <v>14</v>
      </c>
      <c r="BO4" s="5" t="s">
        <v>15</v>
      </c>
      <c r="BP4" s="5" t="s">
        <v>16</v>
      </c>
      <c r="BQ4" s="30" t="s">
        <v>10</v>
      </c>
      <c r="BR4" s="30" t="s">
        <v>11</v>
      </c>
      <c r="BS4" s="30" t="s">
        <v>12</v>
      </c>
      <c r="BT4" s="30" t="s">
        <v>13</v>
      </c>
      <c r="BU4" s="5" t="s">
        <v>14</v>
      </c>
      <c r="BV4" s="5" t="s">
        <v>15</v>
      </c>
      <c r="BW4" s="5" t="s">
        <v>16</v>
      </c>
      <c r="BX4" s="30" t="s">
        <v>10</v>
      </c>
      <c r="BY4" s="30" t="s">
        <v>11</v>
      </c>
      <c r="BZ4" s="30" t="s">
        <v>12</v>
      </c>
      <c r="CA4" s="30" t="s">
        <v>13</v>
      </c>
      <c r="CB4" s="5" t="s">
        <v>14</v>
      </c>
      <c r="CC4" s="5" t="s">
        <v>15</v>
      </c>
      <c r="CD4" s="5" t="s">
        <v>16</v>
      </c>
      <c r="CE4" s="30" t="s">
        <v>10</v>
      </c>
      <c r="CF4" s="30" t="s">
        <v>11</v>
      </c>
      <c r="CG4" s="30" t="s">
        <v>12</v>
      </c>
      <c r="CH4" s="30" t="s">
        <v>13</v>
      </c>
      <c r="CI4" s="5" t="s">
        <v>14</v>
      </c>
      <c r="CJ4" s="5" t="s">
        <v>15</v>
      </c>
      <c r="CK4" s="5" t="s">
        <v>16</v>
      </c>
      <c r="CL4" s="30" t="s">
        <v>10</v>
      </c>
      <c r="CM4" s="30" t="s">
        <v>11</v>
      </c>
      <c r="CN4" s="30" t="s">
        <v>12</v>
      </c>
      <c r="CO4" s="30" t="s">
        <v>13</v>
      </c>
      <c r="CP4" s="5" t="s">
        <v>14</v>
      </c>
      <c r="CQ4" s="5" t="s">
        <v>15</v>
      </c>
      <c r="CR4" s="5" t="s">
        <v>16</v>
      </c>
      <c r="CS4" s="30" t="s">
        <v>10</v>
      </c>
      <c r="CT4" s="30" t="s">
        <v>11</v>
      </c>
      <c r="CU4" s="30" t="s">
        <v>12</v>
      </c>
      <c r="CV4" s="30" t="s">
        <v>13</v>
      </c>
      <c r="CW4" s="5" t="s">
        <v>14</v>
      </c>
      <c r="CX4" s="5" t="s">
        <v>15</v>
      </c>
      <c r="CY4" s="5" t="s">
        <v>16</v>
      </c>
      <c r="CZ4" s="30" t="s">
        <v>10</v>
      </c>
      <c r="DA4" s="30" t="s">
        <v>11</v>
      </c>
      <c r="DB4" s="30" t="s">
        <v>12</v>
      </c>
      <c r="DC4" s="30" t="s">
        <v>13</v>
      </c>
      <c r="DD4" s="5" t="s">
        <v>14</v>
      </c>
      <c r="DE4" s="5" t="s">
        <v>15</v>
      </c>
      <c r="DF4" s="5" t="s">
        <v>16</v>
      </c>
      <c r="DG4" s="30" t="s">
        <v>10</v>
      </c>
      <c r="DH4" s="30" t="s">
        <v>11</v>
      </c>
      <c r="DI4" s="30" t="s">
        <v>12</v>
      </c>
      <c r="DJ4" s="30" t="s">
        <v>13</v>
      </c>
      <c r="DK4" s="5" t="s">
        <v>14</v>
      </c>
      <c r="DL4" s="5" t="s">
        <v>15</v>
      </c>
      <c r="DM4" s="5" t="s">
        <v>16</v>
      </c>
      <c r="DN4" s="30" t="s">
        <v>10</v>
      </c>
      <c r="DO4" s="30" t="s">
        <v>11</v>
      </c>
      <c r="DP4" s="30" t="s">
        <v>12</v>
      </c>
      <c r="DQ4" s="30" t="s">
        <v>13</v>
      </c>
      <c r="DR4" s="5" t="s">
        <v>14</v>
      </c>
      <c r="DS4" s="5" t="s">
        <v>15</v>
      </c>
      <c r="DT4" s="5" t="s">
        <v>16</v>
      </c>
      <c r="DU4" s="30" t="s">
        <v>10</v>
      </c>
      <c r="DV4" s="30" t="s">
        <v>11</v>
      </c>
      <c r="DW4" s="30" t="s">
        <v>12</v>
      </c>
      <c r="DX4" s="30" t="s">
        <v>13</v>
      </c>
      <c r="DY4" s="5" t="s">
        <v>14</v>
      </c>
      <c r="DZ4" s="5" t="s">
        <v>15</v>
      </c>
      <c r="EA4" s="5" t="s">
        <v>16</v>
      </c>
      <c r="EB4" s="30" t="s">
        <v>10</v>
      </c>
      <c r="EC4" s="30" t="s">
        <v>11</v>
      </c>
      <c r="ED4" s="30" t="s">
        <v>12</v>
      </c>
      <c r="EE4" s="30" t="s">
        <v>13</v>
      </c>
      <c r="EF4" s="5" t="s">
        <v>14</v>
      </c>
      <c r="EG4" s="5" t="s">
        <v>15</v>
      </c>
      <c r="EH4" s="5" t="s">
        <v>16</v>
      </c>
      <c r="EI4" s="30" t="s">
        <v>10</v>
      </c>
      <c r="EJ4" s="30" t="s">
        <v>11</v>
      </c>
      <c r="EK4" s="30" t="s">
        <v>12</v>
      </c>
      <c r="EL4" s="30" t="s">
        <v>13</v>
      </c>
      <c r="EM4" s="5" t="s">
        <v>14</v>
      </c>
      <c r="EN4" s="5" t="s">
        <v>15</v>
      </c>
      <c r="EO4" s="5" t="s">
        <v>16</v>
      </c>
      <c r="EP4" s="30" t="s">
        <v>10</v>
      </c>
      <c r="EQ4" s="30" t="s">
        <v>11</v>
      </c>
      <c r="ER4" s="30" t="s">
        <v>12</v>
      </c>
      <c r="ES4" s="30" t="s">
        <v>13</v>
      </c>
    </row>
    <row r="5" spans="1:149">
      <c r="A5" s="6">
        <v>45962</v>
      </c>
      <c r="B5" s="7" t="s">
        <v>17</v>
      </c>
      <c r="C5" s="8">
        <v>14</v>
      </c>
      <c r="D5" s="9">
        <v>0</v>
      </c>
      <c r="E5" s="10">
        <v>13.5</v>
      </c>
      <c r="F5" s="19">
        <f>IF($D$8=0,0,D5/$D$8)</f>
        <v>0</v>
      </c>
      <c r="G5" s="19">
        <f>C16</f>
        <v>0.27202072538860106</v>
      </c>
      <c r="H5" s="19">
        <f>F5-G5</f>
        <v>-0.27202072538860106</v>
      </c>
      <c r="I5" s="20">
        <f>G5*$D$8</f>
        <v>0</v>
      </c>
      <c r="J5" s="8">
        <v>14</v>
      </c>
      <c r="K5" s="9">
        <v>14</v>
      </c>
      <c r="L5" s="10">
        <v>28.5</v>
      </c>
      <c r="M5" s="19">
        <f>IF($K$8=0,0,J5/$K$8)</f>
        <v>0.4</v>
      </c>
      <c r="N5" s="19">
        <f>C16</f>
        <v>0.27202072538860106</v>
      </c>
      <c r="O5" s="19">
        <f>M5-N5</f>
        <v>0.12797927461139896</v>
      </c>
      <c r="P5" s="20">
        <f>N5*$K$8</f>
        <v>9.5207253886010363</v>
      </c>
      <c r="Q5" s="8">
        <v>29</v>
      </c>
      <c r="R5" s="9">
        <v>-5</v>
      </c>
      <c r="S5" s="10">
        <v>24.4</v>
      </c>
      <c r="T5" s="19">
        <f>R5/$R$8</f>
        <v>-0.5</v>
      </c>
      <c r="U5" s="19">
        <f>C16</f>
        <v>0.27202072538860106</v>
      </c>
      <c r="V5" s="19">
        <f>T5-U5</f>
        <v>-0.77202072538860111</v>
      </c>
      <c r="W5" s="20">
        <f>U5*$R$8</f>
        <v>2.7202072538860107</v>
      </c>
      <c r="X5" s="8">
        <v>29</v>
      </c>
      <c r="Y5" s="9">
        <v>-8</v>
      </c>
      <c r="Z5" s="10">
        <v>20.7</v>
      </c>
      <c r="AA5" s="19">
        <f>Y5/Y8</f>
        <v>1.1428571428571428</v>
      </c>
      <c r="AB5" s="19">
        <f>C16</f>
        <v>0.27202072538860106</v>
      </c>
      <c r="AC5" s="19">
        <f>AA5-AB5</f>
        <v>0.87083641746854168</v>
      </c>
      <c r="AD5" s="20">
        <f>AB5*Y8</f>
        <v>-1.9041450777202074</v>
      </c>
      <c r="AE5" s="8">
        <v>21</v>
      </c>
      <c r="AF5" s="9">
        <v>-5</v>
      </c>
      <c r="AG5" s="10">
        <v>15.3</v>
      </c>
      <c r="AH5" s="19">
        <f>AF5/$AF$8</f>
        <v>0.7142857142857143</v>
      </c>
      <c r="AI5" s="19">
        <f>C16</f>
        <v>0.27202072538860106</v>
      </c>
      <c r="AJ5" s="19">
        <f>AH5-AI5</f>
        <v>0.44226498889711324</v>
      </c>
      <c r="AK5" s="20">
        <f>AI5*$AF$8</f>
        <v>-1.9041450777202074</v>
      </c>
      <c r="AL5" s="8">
        <v>15</v>
      </c>
      <c r="AM5" s="9">
        <v>1</v>
      </c>
      <c r="AN5" s="10">
        <v>16.2</v>
      </c>
      <c r="AO5" s="19">
        <f>AM5/$AM$8</f>
        <v>0.25</v>
      </c>
      <c r="AP5" s="19">
        <f>C16</f>
        <v>0.27202072538860106</v>
      </c>
      <c r="AQ5" s="19">
        <f>AO5-AP5</f>
        <v>-2.2020725388601059E-2</v>
      </c>
      <c r="AR5" s="20">
        <f>AP5*$AM$8</f>
        <v>1.0880829015544042</v>
      </c>
      <c r="AS5" s="8">
        <v>15</v>
      </c>
      <c r="AT5" s="9">
        <v>4</v>
      </c>
      <c r="AU5" s="10">
        <v>19.2</v>
      </c>
      <c r="AV5" s="19">
        <f>AT5/$AT$8</f>
        <v>0.2857142857142857</v>
      </c>
      <c r="AW5" s="19">
        <f>C16</f>
        <v>0.27202072538860106</v>
      </c>
      <c r="AX5" s="19">
        <f>AV5-AW5</f>
        <v>1.3693560325684639E-2</v>
      </c>
      <c r="AY5" s="20">
        <f>AW5*$AT$8</f>
        <v>3.8082901554404147</v>
      </c>
      <c r="AZ5" s="8">
        <v>21</v>
      </c>
      <c r="BA5" s="9">
        <v>3</v>
      </c>
      <c r="BB5" s="10">
        <v>23.9</v>
      </c>
      <c r="BC5" s="19">
        <f>BA5/$BA$8</f>
        <v>0.13636363636363635</v>
      </c>
      <c r="BD5" s="19">
        <f>C16</f>
        <v>0.27202072538860106</v>
      </c>
      <c r="BE5" s="19">
        <f>BC5-BD5</f>
        <v>-0.13565708902496471</v>
      </c>
      <c r="BF5" s="20">
        <f>BD5*$BA$8</f>
        <v>5.9844559585492236</v>
      </c>
      <c r="BG5" s="8">
        <v>24</v>
      </c>
      <c r="BH5" s="9">
        <v>11</v>
      </c>
      <c r="BI5" s="10">
        <v>35.299999999999997</v>
      </c>
      <c r="BJ5" s="19">
        <f>BH5/$BH$8</f>
        <v>-0.21153846153846154</v>
      </c>
      <c r="BK5" s="19">
        <f>C16</f>
        <v>0.27202072538860106</v>
      </c>
      <c r="BL5" s="19">
        <f>BJ5-BK5</f>
        <v>-0.48355918692706257</v>
      </c>
      <c r="BM5" s="20">
        <f>BK5*$BH$8</f>
        <v>-14.145077720207254</v>
      </c>
      <c r="BN5" s="8">
        <v>35</v>
      </c>
      <c r="BO5" s="9">
        <v>3</v>
      </c>
      <c r="BP5" s="10">
        <v>38.299999999999997</v>
      </c>
      <c r="BQ5" s="19">
        <f>BO5/$BO$8</f>
        <v>-0.16666666666666666</v>
      </c>
      <c r="BR5" s="19">
        <f>C16</f>
        <v>0.27202072538860106</v>
      </c>
      <c r="BS5" s="19">
        <f>BQ5-BR5</f>
        <v>-0.43868739205526774</v>
      </c>
      <c r="BT5" s="20">
        <f>BR5*$BO$8</f>
        <v>-4.8963730569948192</v>
      </c>
      <c r="BU5" s="8">
        <v>38</v>
      </c>
      <c r="BV5" s="9">
        <v>-8</v>
      </c>
      <c r="BW5" s="10">
        <v>30</v>
      </c>
      <c r="BX5" s="19">
        <f>BV5/$BV$8</f>
        <v>1.3333333333333333</v>
      </c>
      <c r="BY5" s="19">
        <f>C16</f>
        <v>0.27202072538860106</v>
      </c>
      <c r="BZ5" s="19">
        <f>BX5-BY5</f>
        <v>1.0613126079447321</v>
      </c>
      <c r="CA5" s="20">
        <f>BY5*$BV$8</f>
        <v>-1.6321243523316062</v>
      </c>
      <c r="CB5" s="8">
        <v>30</v>
      </c>
      <c r="CC5" s="9">
        <v>0</v>
      </c>
      <c r="CD5" s="10">
        <v>29.9</v>
      </c>
      <c r="CE5" s="19">
        <f>CC5/$CC$8</f>
        <v>0</v>
      </c>
      <c r="CF5" s="19">
        <f>C16</f>
        <v>0.27202072538860106</v>
      </c>
      <c r="CG5" s="19">
        <f>CE5-CF5</f>
        <v>-0.27202072538860106</v>
      </c>
      <c r="CH5" s="20">
        <f>CF5*$CC$8</f>
        <v>-14.417098445595856</v>
      </c>
      <c r="CI5" s="8">
        <v>30</v>
      </c>
      <c r="CJ5" s="9">
        <v>1</v>
      </c>
      <c r="CK5" s="10">
        <v>30.7</v>
      </c>
      <c r="CL5" s="19">
        <f>CJ5/$CJ$8</f>
        <v>-3.0303030303030304E-2</v>
      </c>
      <c r="CM5" s="19">
        <f>C16</f>
        <v>0.27202072538860106</v>
      </c>
      <c r="CN5" s="19">
        <f>CL5-CM5</f>
        <v>-0.30232375569163139</v>
      </c>
      <c r="CO5" s="20">
        <f>CM5*$CJ$8</f>
        <v>-8.9766839378238341</v>
      </c>
      <c r="CP5" s="8">
        <v>31</v>
      </c>
      <c r="CQ5" s="9">
        <v>2</v>
      </c>
      <c r="CR5" s="10">
        <v>33.200000000000003</v>
      </c>
      <c r="CS5" s="19">
        <f>CQ5/$CQ$8</f>
        <v>-5.8823529411764705E-2</v>
      </c>
      <c r="CT5" s="19">
        <f>C16</f>
        <v>0.27202072538860106</v>
      </c>
      <c r="CU5" s="19">
        <f>CS5-CT5</f>
        <v>-0.33084425480036578</v>
      </c>
      <c r="CV5" s="20">
        <f>CT5*$CQ$8</f>
        <v>-9.2487046632124361</v>
      </c>
      <c r="CW5" s="8">
        <v>33</v>
      </c>
      <c r="CX5" s="9">
        <v>-6</v>
      </c>
      <c r="CY5" s="10">
        <v>26.6</v>
      </c>
      <c r="CZ5" s="19">
        <f>CX5/$CX$8</f>
        <v>-0.75</v>
      </c>
      <c r="DA5" s="19">
        <f>C16</f>
        <v>0.27202072538860106</v>
      </c>
      <c r="DB5" s="19">
        <f>CZ5-DA5</f>
        <v>-1.0220207253886011</v>
      </c>
      <c r="DC5" s="20">
        <f>DA5*$CX$8</f>
        <v>2.1761658031088085</v>
      </c>
      <c r="DD5" s="8">
        <v>27</v>
      </c>
      <c r="DE5" s="9">
        <v>-2</v>
      </c>
      <c r="DF5" s="10">
        <v>24.6</v>
      </c>
      <c r="DG5" s="19">
        <f>DE5/$DE$8</f>
        <v>5.2631578947368418E-2</v>
      </c>
      <c r="DH5" s="19">
        <f>C16</f>
        <v>0.27202072538860106</v>
      </c>
      <c r="DI5" s="19">
        <f>DG5-DH5</f>
        <v>-0.21938914644123264</v>
      </c>
      <c r="DJ5" s="20">
        <f>DH5*$DE$8</f>
        <v>-10.336787564766841</v>
      </c>
      <c r="DK5" s="8">
        <v>25</v>
      </c>
      <c r="DL5" s="9">
        <v>-3</v>
      </c>
      <c r="DM5" s="10">
        <v>22.2</v>
      </c>
      <c r="DN5" s="19">
        <f>DL5/$DL$8</f>
        <v>0.33333333333333331</v>
      </c>
      <c r="DO5" s="19">
        <f>C16</f>
        <v>0.27202072538860106</v>
      </c>
      <c r="DP5" s="19">
        <f>DN5-DO5</f>
        <v>6.1312607944732256E-2</v>
      </c>
      <c r="DQ5" s="20">
        <f>DO5*$DL$8</f>
        <v>-2.4481865284974096</v>
      </c>
      <c r="DR5" s="8">
        <v>22</v>
      </c>
      <c r="DS5" s="9">
        <v>5</v>
      </c>
      <c r="DT5" s="10">
        <v>27.3</v>
      </c>
      <c r="DU5" s="19">
        <f>DS5/$DS$8</f>
        <v>0.38461538461538464</v>
      </c>
      <c r="DV5" s="19">
        <f>C16</f>
        <v>0.27202072538860106</v>
      </c>
      <c r="DW5" s="19">
        <f>DU5-DV5</f>
        <v>0.11259465922678358</v>
      </c>
      <c r="DX5" s="20">
        <f>DV5*$DS$8</f>
        <v>3.5362694300518136</v>
      </c>
      <c r="DY5" s="8">
        <v>27</v>
      </c>
      <c r="DZ5" s="9">
        <v>6</v>
      </c>
      <c r="EA5" s="10">
        <v>32.6</v>
      </c>
      <c r="EB5" s="19">
        <f>DZ5/$DZ$8</f>
        <v>0.375</v>
      </c>
      <c r="EC5" s="19">
        <f>C16</f>
        <v>0.27202072538860106</v>
      </c>
      <c r="ED5" s="19">
        <f>EB5-EC5</f>
        <v>0.10297927461139894</v>
      </c>
      <c r="EE5" s="20">
        <f>EC5*$DZ$8</f>
        <v>4.3523316062176169</v>
      </c>
      <c r="EF5" s="8">
        <v>27</v>
      </c>
      <c r="EG5" s="9">
        <v>8</v>
      </c>
      <c r="EH5" s="10">
        <v>34.9</v>
      </c>
      <c r="EI5" s="19">
        <f>EG5/$EG$8</f>
        <v>0.47058823529411764</v>
      </c>
      <c r="EJ5" s="19">
        <f>C16</f>
        <v>0.27202072538860106</v>
      </c>
      <c r="EK5" s="19">
        <f>EI5-EJ5</f>
        <v>0.19856750990551658</v>
      </c>
      <c r="EL5" s="20">
        <f>EJ5*$EG$8</f>
        <v>4.6243523316062181</v>
      </c>
      <c r="EM5" s="8">
        <v>27</v>
      </c>
      <c r="EN5" s="9">
        <v>6</v>
      </c>
      <c r="EO5" s="10">
        <v>33</v>
      </c>
      <c r="EP5" s="19">
        <f>EN5/$EN$8</f>
        <v>0.4</v>
      </c>
      <c r="EQ5" s="19">
        <f>C16</f>
        <v>0.27202072538860106</v>
      </c>
      <c r="ER5" s="19">
        <f>EP5-EQ5</f>
        <v>0.12797927461139896</v>
      </c>
      <c r="ES5" s="20">
        <f>EQ5*$EN$8</f>
        <v>4.0803108808290158</v>
      </c>
    </row>
    <row r="6" spans="1:149">
      <c r="A6" s="11">
        <v>45962</v>
      </c>
      <c r="B6" s="12" t="s">
        <v>18</v>
      </c>
      <c r="C6" s="8">
        <v>6</v>
      </c>
      <c r="D6" s="9">
        <v>0</v>
      </c>
      <c r="E6" s="10">
        <v>5.6</v>
      </c>
      <c r="F6" s="19">
        <f t="shared" ref="F6:F7" si="0">IF($D$8=0,0,D6/$D$8)</f>
        <v>0</v>
      </c>
      <c r="G6" s="19">
        <f t="shared" ref="G6:G7" si="1">C17</f>
        <v>0.50777202072538863</v>
      </c>
      <c r="H6" s="19">
        <f t="shared" ref="H6:H7" si="2">F6-G6</f>
        <v>-0.50777202072538863</v>
      </c>
      <c r="I6" s="20">
        <f t="shared" ref="I6:I7" si="3">G6*$D$8</f>
        <v>0</v>
      </c>
      <c r="J6" s="8">
        <v>13</v>
      </c>
      <c r="K6" s="9">
        <v>8</v>
      </c>
      <c r="L6" s="10">
        <v>21</v>
      </c>
      <c r="M6" s="19">
        <f t="shared" ref="M6:M7" si="4">IF($K$8=0,0,J6/$K$8)</f>
        <v>0.37142857142857144</v>
      </c>
      <c r="N6" s="19">
        <f t="shared" ref="N6:N7" si="5">C17</f>
        <v>0.50777202072538863</v>
      </c>
      <c r="O6" s="19">
        <f t="shared" ref="O6:O7" si="6">M6-N6</f>
        <v>-0.13634344929681719</v>
      </c>
      <c r="P6" s="20">
        <f t="shared" ref="P6:P7" si="7">N6*$D$8</f>
        <v>0</v>
      </c>
      <c r="Q6" s="8">
        <v>16</v>
      </c>
      <c r="R6" s="9">
        <v>9</v>
      </c>
      <c r="S6" s="10">
        <v>25.2</v>
      </c>
      <c r="T6" s="19">
        <f t="shared" ref="T6:T7" si="8">R6/$R$8</f>
        <v>0.9</v>
      </c>
      <c r="U6" s="19">
        <f t="shared" ref="U6:U7" si="9">C17</f>
        <v>0.50777202072538863</v>
      </c>
      <c r="V6" s="19">
        <f t="shared" ref="V6:V7" si="10">T6-U6</f>
        <v>0.39222797927461139</v>
      </c>
      <c r="W6" s="20">
        <f t="shared" ref="W6:W7" si="11">U6*$R$8</f>
        <v>5.0777202072538863</v>
      </c>
      <c r="X6" s="8">
        <v>20</v>
      </c>
      <c r="Y6" s="9">
        <v>8</v>
      </c>
      <c r="Z6" s="10">
        <v>27.8</v>
      </c>
      <c r="AA6" s="19">
        <f t="shared" ref="AA6:AA7" si="12">Y6/$Y$8</f>
        <v>-1.1428571428571428</v>
      </c>
      <c r="AB6" s="19">
        <f t="shared" ref="AB6:AB7" si="13">C17</f>
        <v>0.50777202072538863</v>
      </c>
      <c r="AC6" s="19">
        <f t="shared" ref="AC6:AC7" si="14">AA6-AB6</f>
        <v>-1.6506291635825314</v>
      </c>
      <c r="AD6" s="20">
        <f t="shared" ref="AD6:AD7" si="15">AB6*$Y$8</f>
        <v>-3.5544041450777204</v>
      </c>
      <c r="AE6" s="8">
        <v>23</v>
      </c>
      <c r="AF6" s="9">
        <v>5</v>
      </c>
      <c r="AG6" s="10">
        <v>27.7</v>
      </c>
      <c r="AH6" s="19">
        <f t="shared" ref="AH6:AH7" si="16">AF6/$AF$8</f>
        <v>-0.7142857142857143</v>
      </c>
      <c r="AI6" s="19">
        <f t="shared" ref="AI6:AI7" si="17">C17</f>
        <v>0.50777202072538863</v>
      </c>
      <c r="AJ6" s="19">
        <f t="shared" ref="AJ6:AJ7" si="18">AH6-AI6</f>
        <v>-1.222057735011103</v>
      </c>
      <c r="AK6" s="20">
        <f t="shared" ref="AK6:AK7" si="19">AI6*$AF$8</f>
        <v>-3.5544041450777204</v>
      </c>
      <c r="AL6" s="8">
        <v>28</v>
      </c>
      <c r="AM6" s="9">
        <v>2</v>
      </c>
      <c r="AN6" s="10">
        <v>29.3</v>
      </c>
      <c r="AO6" s="19">
        <f t="shared" ref="AO6:AO7" si="20">AM6/$AM$8</f>
        <v>0.5</v>
      </c>
      <c r="AP6" s="19">
        <f t="shared" ref="AP6:AP7" si="21">C17</f>
        <v>0.50777202072538863</v>
      </c>
      <c r="AQ6" s="19">
        <f t="shared" ref="AQ6:AQ7" si="22">AO6-AP6</f>
        <v>-7.7720207253886286E-3</v>
      </c>
      <c r="AR6" s="20">
        <f t="shared" ref="AR6:AR7" si="23">AP6*$AM$8</f>
        <v>2.0310880829015545</v>
      </c>
      <c r="AS6" s="8">
        <v>28</v>
      </c>
      <c r="AT6" s="9">
        <v>7</v>
      </c>
      <c r="AU6" s="10">
        <v>34.9</v>
      </c>
      <c r="AV6" s="19">
        <f t="shared" ref="AV6:AV7" si="24">AT6/$AT$8</f>
        <v>0.5</v>
      </c>
      <c r="AW6" s="19">
        <f t="shared" ref="AW6:AW7" si="25">C17</f>
        <v>0.50777202072538863</v>
      </c>
      <c r="AX6" s="19">
        <f t="shared" ref="AX6:AX7" si="26">AV6-AW6</f>
        <v>-7.7720207253886286E-3</v>
      </c>
      <c r="AY6" s="20">
        <f t="shared" ref="AY6:AY7" si="27">AW6*$AT$8</f>
        <v>7.1088082901554408</v>
      </c>
      <c r="AZ6" s="8">
        <v>28</v>
      </c>
      <c r="BA6" s="9">
        <v>15</v>
      </c>
      <c r="BB6" s="10">
        <v>43.3</v>
      </c>
      <c r="BC6" s="19">
        <f t="shared" ref="BC6:BC7" si="28">BA6/$BA$8</f>
        <v>0.68181818181818177</v>
      </c>
      <c r="BD6" s="19">
        <f t="shared" ref="BD6:BD7" si="29">C17</f>
        <v>0.50777202072538863</v>
      </c>
      <c r="BE6" s="19">
        <f t="shared" ref="BE6:BE7" si="30">BC6-BD6</f>
        <v>0.17404616109279314</v>
      </c>
      <c r="BF6" s="20">
        <f t="shared" ref="BF6:BF7" si="31">BD6*$BA$8</f>
        <v>11.17098445595855</v>
      </c>
      <c r="BG6" s="8">
        <v>136</v>
      </c>
      <c r="BH6" s="9">
        <v>-72</v>
      </c>
      <c r="BI6" s="10">
        <v>64</v>
      </c>
      <c r="BJ6" s="19">
        <f t="shared" ref="BJ6:BJ7" si="32">BH6/$BH$8</f>
        <v>1.3846153846153846</v>
      </c>
      <c r="BK6" s="19">
        <f t="shared" ref="BK6:BK7" si="33">C17</f>
        <v>0.50777202072538863</v>
      </c>
      <c r="BL6" s="19">
        <f t="shared" ref="BL6:BL7" si="34">BJ6-BK6</f>
        <v>0.87684336388999595</v>
      </c>
      <c r="BM6" s="20">
        <f t="shared" ref="BM6:BM7" si="35">BK6*$BH$8</f>
        <v>-26.404145077720209</v>
      </c>
      <c r="BN6" s="8">
        <v>92</v>
      </c>
      <c r="BO6" s="9">
        <v>-23</v>
      </c>
      <c r="BP6" s="10">
        <v>69.3</v>
      </c>
      <c r="BQ6" s="19">
        <f t="shared" ref="BQ6:BQ7" si="36">BO6/$BO$8</f>
        <v>1.2777777777777777</v>
      </c>
      <c r="BR6" s="19">
        <f t="shared" ref="BR6:BR7" si="37">C17</f>
        <v>0.50777202072538863</v>
      </c>
      <c r="BS6" s="19">
        <f t="shared" ref="BS6:BS7" si="38">BQ6-BR6</f>
        <v>0.77000575705238905</v>
      </c>
      <c r="BT6" s="20">
        <f t="shared" ref="BT6:BT7" si="39">BR6*$BO$8</f>
        <v>-9.1398963730569953</v>
      </c>
      <c r="BU6" s="8">
        <v>68</v>
      </c>
      <c r="BV6" s="9">
        <v>8</v>
      </c>
      <c r="BW6" s="10">
        <v>76.400000000000006</v>
      </c>
      <c r="BX6" s="19">
        <f t="shared" ref="BX6:BX7" si="40">BV6/$BV$8</f>
        <v>-1.3333333333333333</v>
      </c>
      <c r="BY6" s="19">
        <f t="shared" ref="BY6:BY7" si="41">C17</f>
        <v>0.50777202072538863</v>
      </c>
      <c r="BZ6" s="19">
        <f t="shared" ref="BZ6:BZ7" si="42">BX6-BY6</f>
        <v>-1.8411053540587219</v>
      </c>
      <c r="CA6" s="20">
        <f t="shared" ref="CA6:CA7" si="43">BY6*$BV$8</f>
        <v>-3.0466321243523318</v>
      </c>
      <c r="CB6" s="8">
        <v>128</v>
      </c>
      <c r="CC6" s="9">
        <v>-52</v>
      </c>
      <c r="CD6" s="10">
        <v>76.400000000000006</v>
      </c>
      <c r="CE6" s="19">
        <f t="shared" ref="CE6:CE7" si="44">CC6/$CC$8</f>
        <v>0.98113207547169812</v>
      </c>
      <c r="CF6" s="19">
        <f t="shared" ref="CF6:CF7" si="45">C17</f>
        <v>0.50777202072538863</v>
      </c>
      <c r="CG6" s="19">
        <f t="shared" ref="CG6:CG7" si="46">CE6-CF6</f>
        <v>0.47336005474630949</v>
      </c>
      <c r="CH6" s="20">
        <f t="shared" ref="CH6:CH7" si="47">CF6*$CC$8</f>
        <v>-26.911917098445599</v>
      </c>
      <c r="CI6" s="8">
        <v>110</v>
      </c>
      <c r="CJ6" s="9">
        <v>-34</v>
      </c>
      <c r="CK6" s="10">
        <v>76.400000000000006</v>
      </c>
      <c r="CL6" s="19">
        <f t="shared" ref="CL6:CL7" si="48">CJ6/$CJ$8</f>
        <v>1.0303030303030303</v>
      </c>
      <c r="CM6" s="19">
        <f t="shared" ref="CM6:CM7" si="49">C17</f>
        <v>0.50777202072538863</v>
      </c>
      <c r="CN6" s="19">
        <f t="shared" ref="CN6:CN7" si="50">CL6-CM6</f>
        <v>0.52253100957764165</v>
      </c>
      <c r="CO6" s="20">
        <f t="shared" ref="CO6:CO7" si="51">CM6*$CJ$8</f>
        <v>-16.756476683937827</v>
      </c>
      <c r="CP6" s="8">
        <v>115</v>
      </c>
      <c r="CQ6" s="9">
        <v>-38</v>
      </c>
      <c r="CR6" s="10">
        <v>76.400000000000006</v>
      </c>
      <c r="CS6" s="19">
        <f t="shared" ref="CS6:CS7" si="52">CQ6/$CQ$8</f>
        <v>1.1176470588235294</v>
      </c>
      <c r="CT6" s="19">
        <f t="shared" ref="CT6:CT7" si="53">C17</f>
        <v>0.50777202072538863</v>
      </c>
      <c r="CU6" s="19">
        <f t="shared" ref="CU6:CU7" si="54">CS6-CT6</f>
        <v>0.60987503809814081</v>
      </c>
      <c r="CV6" s="20">
        <f t="shared" ref="CV6:CV7" si="55">CT6*$CQ$8</f>
        <v>-17.264248704663213</v>
      </c>
      <c r="CW6" s="8">
        <v>60</v>
      </c>
      <c r="CX6" s="9">
        <v>19</v>
      </c>
      <c r="CY6" s="10">
        <v>78.599999999999994</v>
      </c>
      <c r="CZ6" s="19">
        <f t="shared" ref="CZ6:CZ7" si="56">CX6/$CX$8</f>
        <v>2.375</v>
      </c>
      <c r="DA6" s="19">
        <f t="shared" ref="DA6:DA7" si="57">C17</f>
        <v>0.50777202072538863</v>
      </c>
      <c r="DB6" s="19">
        <f t="shared" ref="DB6:DB7" si="58">CZ6-DA6</f>
        <v>1.8672279792746114</v>
      </c>
      <c r="DC6" s="20">
        <f t="shared" ref="DC6:DC7" si="59">DA6*$CX$8</f>
        <v>4.062176165803109</v>
      </c>
      <c r="DD6" s="8">
        <v>78</v>
      </c>
      <c r="DE6" s="9">
        <v>-34</v>
      </c>
      <c r="DF6" s="10">
        <v>44.7</v>
      </c>
      <c r="DG6" s="19">
        <f t="shared" ref="DG6:DG7" si="60">DE6/$DE$8</f>
        <v>0.89473684210526316</v>
      </c>
      <c r="DH6" s="19">
        <f t="shared" ref="DH6:DH7" si="61">C17</f>
        <v>0.50777202072538863</v>
      </c>
      <c r="DI6" s="19">
        <f t="shared" ref="DI6:DI7" si="62">DG6-DH6</f>
        <v>0.38696482137987454</v>
      </c>
      <c r="DJ6" s="20">
        <f t="shared" ref="DJ6:DJ7" si="63">DH6*$DE$8</f>
        <v>-19.295336787564768</v>
      </c>
      <c r="DK6" s="8">
        <v>45</v>
      </c>
      <c r="DL6" s="9">
        <v>-4</v>
      </c>
      <c r="DM6" s="10">
        <v>40.299999999999997</v>
      </c>
      <c r="DN6" s="19">
        <f t="shared" ref="DN6:DN7" si="64">DL6/$DL$8</f>
        <v>0.44444444444444442</v>
      </c>
      <c r="DO6" s="19">
        <f t="shared" ref="DO6:DO7" si="65">C17</f>
        <v>0.50777202072538863</v>
      </c>
      <c r="DP6" s="19">
        <f t="shared" ref="DP6:DP7" si="66">DN6-DO6</f>
        <v>-6.3327576280944209E-2</v>
      </c>
      <c r="DQ6" s="20">
        <f t="shared" ref="DQ6:DQ7" si="67">DO6*$DL$8</f>
        <v>-4.5699481865284977</v>
      </c>
      <c r="DR6" s="8">
        <v>45</v>
      </c>
      <c r="DS6" s="9">
        <v>5</v>
      </c>
      <c r="DT6" s="10">
        <v>49.4</v>
      </c>
      <c r="DU6" s="19">
        <f t="shared" ref="DU6:DU7" si="68">DS6/$DS$8</f>
        <v>0.38461538461538464</v>
      </c>
      <c r="DV6" s="19">
        <f t="shared" ref="DV6:DV7" si="69">C17</f>
        <v>0.50777202072538863</v>
      </c>
      <c r="DW6" s="19">
        <f t="shared" ref="DW6:DW7" si="70">DU6-DV6</f>
        <v>-0.12315663611000399</v>
      </c>
      <c r="DX6" s="20">
        <f t="shared" ref="DX6:DX7" si="71">DV6*$DS$8</f>
        <v>6.6010362694300522</v>
      </c>
      <c r="DY6" s="8">
        <v>18</v>
      </c>
      <c r="DZ6" s="9">
        <v>5</v>
      </c>
      <c r="EA6" s="10">
        <v>22.3</v>
      </c>
      <c r="EB6" s="19">
        <f t="shared" ref="EB6:EB7" si="72">DZ6/$DZ$8</f>
        <v>0.3125</v>
      </c>
      <c r="EC6" s="19">
        <f t="shared" ref="EC6:EC7" si="73">C17</f>
        <v>0.50777202072538863</v>
      </c>
      <c r="ED6" s="19">
        <f t="shared" ref="ED6:ED7" si="74">EB6-EC6</f>
        <v>-0.19527202072538863</v>
      </c>
      <c r="EE6" s="20">
        <f t="shared" ref="EE6:EE7" si="75">EC6*$DZ$8</f>
        <v>8.1243523316062181</v>
      </c>
      <c r="EF6" s="8">
        <v>13</v>
      </c>
      <c r="EG6" s="9">
        <v>5</v>
      </c>
      <c r="EH6" s="10">
        <v>18</v>
      </c>
      <c r="EI6" s="19">
        <f t="shared" ref="EI6:EI7" si="76">EG6/$EG$8</f>
        <v>0.29411764705882354</v>
      </c>
      <c r="EJ6" s="19">
        <f t="shared" ref="EJ6:EJ7" si="77">C17</f>
        <v>0.50777202072538863</v>
      </c>
      <c r="EK6" s="19">
        <f t="shared" ref="EK6:EK7" si="78">EI6-EJ6</f>
        <v>-0.21365437366656509</v>
      </c>
      <c r="EL6" s="20">
        <f t="shared" ref="EL6:EL7" si="79">EJ6*$EG$8</f>
        <v>8.6321243523316067</v>
      </c>
      <c r="EM6" s="8">
        <v>12</v>
      </c>
      <c r="EN6" s="9">
        <v>5</v>
      </c>
      <c r="EO6" s="10">
        <v>16.3</v>
      </c>
      <c r="EP6" s="19">
        <f t="shared" ref="EP6:EP7" si="80">EN6/$EN$8</f>
        <v>0.33333333333333331</v>
      </c>
      <c r="EQ6" s="19">
        <f t="shared" ref="EQ6:EQ7" si="81">C17</f>
        <v>0.50777202072538863</v>
      </c>
      <c r="ER6" s="19">
        <f t="shared" ref="ER6:ER7" si="82">EP6-EQ6</f>
        <v>-0.17443868739205531</v>
      </c>
      <c r="ES6" s="20">
        <f t="shared" ref="ES6:ES7" si="83">EQ6*$EN$8</f>
        <v>7.6165803108808294</v>
      </c>
    </row>
    <row r="7" spans="1:149">
      <c r="A7" s="6">
        <v>45962</v>
      </c>
      <c r="B7" s="7" t="s">
        <v>19</v>
      </c>
      <c r="C7" s="8">
        <v>10</v>
      </c>
      <c r="D7" s="9">
        <v>0</v>
      </c>
      <c r="E7" s="10">
        <v>9.9</v>
      </c>
      <c r="F7" s="19">
        <f t="shared" si="0"/>
        <v>0</v>
      </c>
      <c r="G7" s="19">
        <f t="shared" si="1"/>
        <v>0.22020725388601037</v>
      </c>
      <c r="H7" s="19">
        <f t="shared" si="2"/>
        <v>-0.22020725388601037</v>
      </c>
      <c r="I7" s="20">
        <f t="shared" si="3"/>
        <v>0</v>
      </c>
      <c r="J7" s="8">
        <v>10</v>
      </c>
      <c r="K7" s="9">
        <v>13</v>
      </c>
      <c r="L7" s="10">
        <v>22.9</v>
      </c>
      <c r="M7" s="19">
        <f t="shared" si="4"/>
        <v>0.2857142857142857</v>
      </c>
      <c r="N7" s="19">
        <f t="shared" si="5"/>
        <v>0.22020725388601037</v>
      </c>
      <c r="O7" s="19">
        <f t="shared" si="6"/>
        <v>6.5507031828275331E-2</v>
      </c>
      <c r="P7" s="20">
        <f t="shared" si="7"/>
        <v>0</v>
      </c>
      <c r="Q7" s="8">
        <v>13</v>
      </c>
      <c r="R7" s="9">
        <v>6</v>
      </c>
      <c r="S7" s="10">
        <v>19.2</v>
      </c>
      <c r="T7" s="19">
        <f t="shared" si="8"/>
        <v>0.6</v>
      </c>
      <c r="U7" s="19">
        <f t="shared" si="9"/>
        <v>0.22020725388601037</v>
      </c>
      <c r="V7" s="19">
        <f t="shared" si="10"/>
        <v>0.37979274611398961</v>
      </c>
      <c r="W7" s="20">
        <f t="shared" si="11"/>
        <v>2.2020725388601035</v>
      </c>
      <c r="X7" s="8">
        <v>23</v>
      </c>
      <c r="Y7" s="9">
        <v>-7</v>
      </c>
      <c r="Z7" s="10">
        <v>16.3</v>
      </c>
      <c r="AA7" s="19">
        <f t="shared" si="12"/>
        <v>1</v>
      </c>
      <c r="AB7" s="19">
        <f t="shared" si="13"/>
        <v>0.22020725388601037</v>
      </c>
      <c r="AC7" s="19">
        <f t="shared" si="14"/>
        <v>0.77979274611398963</v>
      </c>
      <c r="AD7" s="20">
        <f t="shared" si="15"/>
        <v>-1.5414507772020727</v>
      </c>
      <c r="AE7" s="8">
        <v>19</v>
      </c>
      <c r="AF7" s="9">
        <v>-7</v>
      </c>
      <c r="AG7" s="10">
        <v>12</v>
      </c>
      <c r="AH7" s="19">
        <f t="shared" si="16"/>
        <v>1</v>
      </c>
      <c r="AI7" s="19">
        <f t="shared" si="17"/>
        <v>0.22020725388601037</v>
      </c>
      <c r="AJ7" s="19">
        <f t="shared" si="18"/>
        <v>0.77979274611398963</v>
      </c>
      <c r="AK7" s="20">
        <f t="shared" si="19"/>
        <v>-1.5414507772020727</v>
      </c>
      <c r="AL7" s="8">
        <v>12</v>
      </c>
      <c r="AM7" s="9">
        <v>1</v>
      </c>
      <c r="AN7" s="10">
        <v>12.7</v>
      </c>
      <c r="AO7" s="19">
        <f t="shared" si="20"/>
        <v>0.25</v>
      </c>
      <c r="AP7" s="19">
        <f t="shared" si="21"/>
        <v>0.22020725388601037</v>
      </c>
      <c r="AQ7" s="19">
        <f t="shared" si="22"/>
        <v>2.9792746113989632E-2</v>
      </c>
      <c r="AR7" s="20">
        <f t="shared" si="23"/>
        <v>0.88082901554404147</v>
      </c>
      <c r="AS7" s="8">
        <v>12</v>
      </c>
      <c r="AT7" s="9">
        <v>3</v>
      </c>
      <c r="AU7" s="10">
        <v>15.1</v>
      </c>
      <c r="AV7" s="19">
        <f t="shared" si="24"/>
        <v>0.21428571428571427</v>
      </c>
      <c r="AW7" s="19">
        <f t="shared" si="25"/>
        <v>0.22020725388601037</v>
      </c>
      <c r="AX7" s="19">
        <f t="shared" si="26"/>
        <v>-5.9215396002960941E-3</v>
      </c>
      <c r="AY7" s="20">
        <f t="shared" si="27"/>
        <v>3.0829015544041454</v>
      </c>
      <c r="AZ7" s="8">
        <v>15</v>
      </c>
      <c r="BA7" s="9">
        <v>4</v>
      </c>
      <c r="BB7" s="10">
        <v>18.8</v>
      </c>
      <c r="BC7" s="19">
        <f t="shared" si="28"/>
        <v>0.18181818181818182</v>
      </c>
      <c r="BD7" s="19">
        <f t="shared" si="29"/>
        <v>0.22020725388601037</v>
      </c>
      <c r="BE7" s="19">
        <f t="shared" si="30"/>
        <v>-3.8389072067828545E-2</v>
      </c>
      <c r="BF7" s="20">
        <f t="shared" si="31"/>
        <v>4.8445595854922283</v>
      </c>
      <c r="BG7" s="8">
        <v>19</v>
      </c>
      <c r="BH7" s="9">
        <v>9</v>
      </c>
      <c r="BI7" s="10">
        <v>27.7</v>
      </c>
      <c r="BJ7" s="19">
        <f t="shared" si="32"/>
        <v>-0.17307692307692307</v>
      </c>
      <c r="BK7" s="19">
        <f t="shared" si="33"/>
        <v>0.22020725388601037</v>
      </c>
      <c r="BL7" s="19">
        <f t="shared" si="34"/>
        <v>-0.39328417696293344</v>
      </c>
      <c r="BM7" s="20">
        <f t="shared" si="35"/>
        <v>-11.450777202072539</v>
      </c>
      <c r="BN7" s="8">
        <v>28</v>
      </c>
      <c r="BO7" s="9">
        <v>2</v>
      </c>
      <c r="BP7" s="10">
        <v>30.1</v>
      </c>
      <c r="BQ7" s="19">
        <f t="shared" si="36"/>
        <v>-0.1111111111111111</v>
      </c>
      <c r="BR7" s="19">
        <f t="shared" si="37"/>
        <v>0.22020725388601037</v>
      </c>
      <c r="BS7" s="19">
        <f t="shared" si="38"/>
        <v>-0.33131836499712147</v>
      </c>
      <c r="BT7" s="20">
        <f t="shared" si="39"/>
        <v>-3.9637305699481864</v>
      </c>
      <c r="BU7" s="8">
        <v>30</v>
      </c>
      <c r="BV7" s="9">
        <v>-6</v>
      </c>
      <c r="BW7" s="10">
        <v>23.6</v>
      </c>
      <c r="BX7" s="19">
        <f t="shared" si="40"/>
        <v>1</v>
      </c>
      <c r="BY7" s="19">
        <f t="shared" si="41"/>
        <v>0.22020725388601037</v>
      </c>
      <c r="BZ7" s="19">
        <f t="shared" si="42"/>
        <v>0.77979274611398963</v>
      </c>
      <c r="CA7" s="20">
        <f t="shared" si="43"/>
        <v>-1.3212435233160622</v>
      </c>
      <c r="CB7" s="8">
        <v>24</v>
      </c>
      <c r="CC7" s="9">
        <v>-1</v>
      </c>
      <c r="CD7" s="10">
        <v>23.5</v>
      </c>
      <c r="CE7" s="19">
        <f t="shared" si="44"/>
        <v>1.8867924528301886E-2</v>
      </c>
      <c r="CF7" s="19">
        <f t="shared" si="45"/>
        <v>0.22020725388601037</v>
      </c>
      <c r="CG7" s="19">
        <f t="shared" si="46"/>
        <v>-0.20133932935770849</v>
      </c>
      <c r="CH7" s="20">
        <f t="shared" si="47"/>
        <v>-11.67098445595855</v>
      </c>
      <c r="CI7" s="8">
        <v>24</v>
      </c>
      <c r="CJ7" s="9">
        <v>0</v>
      </c>
      <c r="CK7" s="10">
        <v>24.2</v>
      </c>
      <c r="CL7" s="19">
        <f t="shared" si="48"/>
        <v>0</v>
      </c>
      <c r="CM7" s="19">
        <f t="shared" si="49"/>
        <v>0.22020725388601037</v>
      </c>
      <c r="CN7" s="19">
        <f t="shared" si="50"/>
        <v>-0.22020725388601037</v>
      </c>
      <c r="CO7" s="20">
        <f t="shared" si="51"/>
        <v>-7.266839378238342</v>
      </c>
      <c r="CP7" s="8">
        <v>24</v>
      </c>
      <c r="CQ7" s="9">
        <v>2</v>
      </c>
      <c r="CR7" s="10">
        <v>26.1</v>
      </c>
      <c r="CS7" s="19">
        <f t="shared" si="52"/>
        <v>-5.8823529411764705E-2</v>
      </c>
      <c r="CT7" s="19">
        <f t="shared" si="53"/>
        <v>0.22020725388601037</v>
      </c>
      <c r="CU7" s="19">
        <f t="shared" si="54"/>
        <v>-0.27903078329777509</v>
      </c>
      <c r="CV7" s="20">
        <f t="shared" si="55"/>
        <v>-7.4870466321243523</v>
      </c>
      <c r="CW7" s="8">
        <v>26</v>
      </c>
      <c r="CX7" s="9">
        <v>-5</v>
      </c>
      <c r="CY7" s="10">
        <v>20.9</v>
      </c>
      <c r="CZ7" s="19">
        <f t="shared" si="56"/>
        <v>-0.625</v>
      </c>
      <c r="DA7" s="19">
        <f t="shared" si="57"/>
        <v>0.22020725388601037</v>
      </c>
      <c r="DB7" s="19">
        <f t="shared" si="58"/>
        <v>-0.84520725388601037</v>
      </c>
      <c r="DC7" s="20">
        <f t="shared" si="59"/>
        <v>1.7616580310880829</v>
      </c>
      <c r="DD7" s="8">
        <v>21</v>
      </c>
      <c r="DE7" s="9">
        <v>-2</v>
      </c>
      <c r="DF7" s="10">
        <v>19.399999999999999</v>
      </c>
      <c r="DG7" s="19">
        <f t="shared" si="60"/>
        <v>5.2631578947368418E-2</v>
      </c>
      <c r="DH7" s="19">
        <f t="shared" si="61"/>
        <v>0.22020725388601037</v>
      </c>
      <c r="DI7" s="19">
        <f t="shared" si="62"/>
        <v>-0.16757567493864195</v>
      </c>
      <c r="DJ7" s="20">
        <f t="shared" si="63"/>
        <v>-8.3678756476683933</v>
      </c>
      <c r="DK7" s="8">
        <v>19</v>
      </c>
      <c r="DL7" s="9">
        <v>-2</v>
      </c>
      <c r="DM7" s="10">
        <v>17.5</v>
      </c>
      <c r="DN7" s="19">
        <f t="shared" si="64"/>
        <v>0.22222222222222221</v>
      </c>
      <c r="DO7" s="19">
        <f t="shared" si="65"/>
        <v>0.22020725388601037</v>
      </c>
      <c r="DP7" s="19">
        <f t="shared" si="66"/>
        <v>2.014968336211842E-3</v>
      </c>
      <c r="DQ7" s="20">
        <f t="shared" si="67"/>
        <v>-1.9818652849740932</v>
      </c>
      <c r="DR7" s="8">
        <v>18</v>
      </c>
      <c r="DS7" s="9">
        <v>3</v>
      </c>
      <c r="DT7" s="10">
        <v>21.4</v>
      </c>
      <c r="DU7" s="19">
        <f t="shared" si="68"/>
        <v>0.23076923076923078</v>
      </c>
      <c r="DV7" s="19">
        <f t="shared" si="69"/>
        <v>0.22020725388601037</v>
      </c>
      <c r="DW7" s="19">
        <f t="shared" si="70"/>
        <v>1.0561976883220414E-2</v>
      </c>
      <c r="DX7" s="20">
        <f t="shared" si="71"/>
        <v>2.8626943005181347</v>
      </c>
      <c r="DY7" s="8">
        <v>21</v>
      </c>
      <c r="DZ7" s="9">
        <v>5</v>
      </c>
      <c r="EA7" s="10">
        <v>25.6</v>
      </c>
      <c r="EB7" s="19">
        <f t="shared" si="72"/>
        <v>0.3125</v>
      </c>
      <c r="EC7" s="19">
        <f t="shared" si="73"/>
        <v>0.22020725388601037</v>
      </c>
      <c r="ED7" s="19">
        <f t="shared" si="74"/>
        <v>9.2292746113989632E-2</v>
      </c>
      <c r="EE7" s="20">
        <f t="shared" si="75"/>
        <v>3.5233160621761659</v>
      </c>
      <c r="EF7" s="8">
        <v>25</v>
      </c>
      <c r="EG7" s="9">
        <v>4</v>
      </c>
      <c r="EH7" s="10">
        <v>29.3</v>
      </c>
      <c r="EI7" s="19">
        <f t="shared" si="76"/>
        <v>0.23529411764705882</v>
      </c>
      <c r="EJ7" s="19">
        <f t="shared" si="77"/>
        <v>0.22020725388601037</v>
      </c>
      <c r="EK7" s="19">
        <f t="shared" si="78"/>
        <v>1.5086863761048452E-2</v>
      </c>
      <c r="EL7" s="20">
        <f t="shared" si="79"/>
        <v>3.7435233160621761</v>
      </c>
      <c r="EM7" s="8">
        <v>24</v>
      </c>
      <c r="EN7" s="9">
        <v>4</v>
      </c>
      <c r="EO7" s="10">
        <v>27.4</v>
      </c>
      <c r="EP7" s="19">
        <f t="shared" si="80"/>
        <v>0.26666666666666666</v>
      </c>
      <c r="EQ7" s="19">
        <f t="shared" si="81"/>
        <v>0.22020725388601037</v>
      </c>
      <c r="ER7" s="19">
        <f t="shared" si="82"/>
        <v>4.6459412780656295E-2</v>
      </c>
      <c r="ES7" s="20">
        <f t="shared" si="83"/>
        <v>3.3031088082901556</v>
      </c>
    </row>
    <row r="8" spans="1:149">
      <c r="D8" s="21">
        <f>SUM(D5:D7)</f>
        <v>0</v>
      </c>
      <c r="E8" s="33"/>
      <c r="F8" s="33"/>
      <c r="G8" s="33"/>
      <c r="H8" s="33"/>
      <c r="I8" s="21">
        <f>SUM(I5:I7)</f>
        <v>0</v>
      </c>
      <c r="J8" s="33"/>
      <c r="K8" s="21">
        <f>SUM(K5:K7)</f>
        <v>35</v>
      </c>
      <c r="L8" s="33"/>
      <c r="M8" s="33"/>
      <c r="N8" s="33"/>
      <c r="O8" s="33"/>
      <c r="P8" s="21">
        <f>SUM(P5:P7)</f>
        <v>9.5207253886010363</v>
      </c>
      <c r="Q8" s="33"/>
      <c r="R8" s="33">
        <f>SUM(R5:R7)</f>
        <v>10</v>
      </c>
      <c r="S8" s="33"/>
      <c r="T8" s="33"/>
      <c r="U8" s="33"/>
      <c r="V8" s="33"/>
      <c r="W8" s="21">
        <f>SUM(W5:W7)</f>
        <v>10</v>
      </c>
      <c r="X8" s="33"/>
      <c r="Y8" s="33">
        <f>SUM(Y5:Y7)</f>
        <v>-7</v>
      </c>
      <c r="Z8" s="33"/>
      <c r="AA8" s="33"/>
      <c r="AB8" s="33"/>
      <c r="AC8" s="33"/>
      <c r="AD8" s="21">
        <f>SUM(AD5:AD7)</f>
        <v>-7</v>
      </c>
      <c r="AE8" s="33"/>
      <c r="AF8" s="33">
        <f>SUM(AF5:AF7)</f>
        <v>-7</v>
      </c>
      <c r="AG8" s="33"/>
      <c r="AH8" s="33"/>
      <c r="AI8" s="33"/>
      <c r="AJ8" s="33"/>
      <c r="AK8" s="21">
        <f>SUM(AK5:AK7)</f>
        <v>-7</v>
      </c>
      <c r="AL8" s="33"/>
      <c r="AM8" s="33">
        <f>SUM(AM5:AM7)</f>
        <v>4</v>
      </c>
      <c r="AN8" s="33"/>
      <c r="AO8" s="33"/>
      <c r="AP8" s="33"/>
      <c r="AQ8" s="33"/>
      <c r="AR8" s="33">
        <f>SUM(AR5:AR7)</f>
        <v>4</v>
      </c>
      <c r="AS8" s="33"/>
      <c r="AT8" s="33">
        <f>SUM(AT5:AT7)</f>
        <v>14</v>
      </c>
      <c r="AU8" s="33"/>
      <c r="AV8" s="33"/>
      <c r="AW8" s="33"/>
      <c r="AX8" s="33"/>
      <c r="AY8" s="33">
        <f>SUM(AY5:AY7)</f>
        <v>14</v>
      </c>
      <c r="AZ8" s="33"/>
      <c r="BA8" s="33">
        <f>SUM(BA5:BA7)</f>
        <v>22</v>
      </c>
      <c r="BB8" s="33"/>
      <c r="BC8" s="33"/>
      <c r="BD8" s="33"/>
      <c r="BE8" s="33"/>
      <c r="BF8" s="33">
        <f>SUM(BF5:BF7)</f>
        <v>22</v>
      </c>
      <c r="BG8" s="33"/>
      <c r="BH8" s="33">
        <f>SUM(BH5:BH7)</f>
        <v>-52</v>
      </c>
      <c r="BI8" s="33"/>
      <c r="BJ8" s="33"/>
      <c r="BK8" s="33"/>
      <c r="BL8" s="33"/>
      <c r="BM8" s="33">
        <f>SUM(BM5:BM7)</f>
        <v>-52</v>
      </c>
      <c r="BN8" s="33"/>
      <c r="BO8" s="33">
        <f>SUM(BO5:BO7)</f>
        <v>-18</v>
      </c>
      <c r="BP8" s="33"/>
      <c r="BQ8" s="33"/>
      <c r="BR8" s="33"/>
      <c r="BS8" s="33"/>
      <c r="BT8" s="33">
        <f>SUM(BT5:BT7)</f>
        <v>-18</v>
      </c>
      <c r="BU8" s="33"/>
      <c r="BV8" s="33">
        <f>SUM(BV5:BV7)</f>
        <v>-6</v>
      </c>
      <c r="BW8" s="33"/>
      <c r="BX8" s="33"/>
      <c r="BY8" s="33"/>
      <c r="BZ8" s="33"/>
      <c r="CA8" s="33">
        <f>SUM(CA5:CA7)</f>
        <v>-6.0000000000000009</v>
      </c>
      <c r="CB8" s="33"/>
      <c r="CC8" s="33">
        <f>SUM(CC5:CC7)</f>
        <v>-53</v>
      </c>
      <c r="CD8" s="33"/>
      <c r="CE8" s="33"/>
      <c r="CF8" s="33"/>
      <c r="CG8" s="33"/>
      <c r="CH8" s="33">
        <f>SUM(CH5:CH7)</f>
        <v>-53</v>
      </c>
      <c r="CI8" s="33"/>
      <c r="CJ8" s="33">
        <f>SUM(CJ5:CJ7)</f>
        <v>-33</v>
      </c>
      <c r="CK8" s="33"/>
      <c r="CL8" s="33"/>
      <c r="CM8" s="33"/>
      <c r="CN8" s="33"/>
      <c r="CO8" s="33">
        <f>SUM(CO5:CO7)</f>
        <v>-33.000000000000007</v>
      </c>
      <c r="CP8" s="33"/>
      <c r="CQ8" s="33">
        <f>SUM(CQ5:CQ7)</f>
        <v>-34</v>
      </c>
      <c r="CR8" s="33"/>
      <c r="CS8" s="33"/>
      <c r="CT8" s="33"/>
      <c r="CU8" s="33"/>
      <c r="CV8" s="33">
        <f>SUM(CV5:CV7)</f>
        <v>-34</v>
      </c>
      <c r="CW8" s="33"/>
      <c r="CX8" s="33">
        <f>SUM(CX5:CX7)</f>
        <v>8</v>
      </c>
      <c r="CY8" s="33"/>
      <c r="CZ8" s="33"/>
      <c r="DA8" s="33"/>
      <c r="DB8" s="33"/>
      <c r="DC8" s="33">
        <f>SUM(DC5:DC7)</f>
        <v>8</v>
      </c>
      <c r="DD8" s="33"/>
      <c r="DE8" s="33">
        <f>SUM(DE5:DE7)</f>
        <v>-38</v>
      </c>
      <c r="DF8" s="33"/>
      <c r="DG8" s="33"/>
      <c r="DH8" s="33"/>
      <c r="DI8" s="33"/>
      <c r="DJ8" s="33">
        <f>SUM(DJ5:DJ7)</f>
        <v>-38</v>
      </c>
      <c r="DK8" s="33"/>
      <c r="DL8" s="33">
        <f>SUM(DL5:DL7)</f>
        <v>-9</v>
      </c>
      <c r="DM8" s="33"/>
      <c r="DN8" s="33"/>
      <c r="DO8" s="33"/>
      <c r="DP8" s="33"/>
      <c r="DQ8" s="33">
        <f>SUM(DQ5:DQ7)</f>
        <v>-9</v>
      </c>
      <c r="DR8" s="33"/>
      <c r="DS8" s="33">
        <f>SUM(DS5:DS7)</f>
        <v>13</v>
      </c>
      <c r="DT8" s="33"/>
      <c r="DU8" s="33"/>
      <c r="DV8" s="33"/>
      <c r="DW8" s="33"/>
      <c r="DX8" s="33">
        <f>SUM(DX5:DX7)</f>
        <v>13</v>
      </c>
      <c r="DY8" s="33"/>
      <c r="DZ8" s="33">
        <f>SUM(DZ5:DZ7)</f>
        <v>16</v>
      </c>
      <c r="EA8" s="33"/>
      <c r="EB8" s="33"/>
      <c r="EC8" s="33"/>
      <c r="ED8" s="33"/>
      <c r="EE8" s="33">
        <f>SUM(EE5:EE7)</f>
        <v>16</v>
      </c>
      <c r="EF8" s="33"/>
      <c r="EG8" s="33">
        <f>SUM(EG5:EG7)</f>
        <v>17</v>
      </c>
      <c r="EH8" s="33"/>
      <c r="EI8" s="33"/>
      <c r="EJ8" s="33"/>
      <c r="EK8" s="33"/>
      <c r="EL8" s="33">
        <f>SUM(EL5:EL7)</f>
        <v>17</v>
      </c>
      <c r="EM8" s="33"/>
      <c r="EN8" s="33">
        <f>SUM(EN5:EN7)</f>
        <v>15</v>
      </c>
      <c r="EO8" s="33"/>
      <c r="EP8" s="33"/>
      <c r="EQ8" s="33"/>
      <c r="ER8" s="33"/>
      <c r="ES8" s="33">
        <f>SUM(ES5:ES7)</f>
        <v>15</v>
      </c>
    </row>
    <row r="10" spans="1:149">
      <c r="A10" s="50" t="s">
        <v>20</v>
      </c>
      <c r="B10" s="50"/>
      <c r="I10" s="38">
        <f>I5-D5</f>
        <v>0</v>
      </c>
      <c r="P10" s="38">
        <f t="shared" ref="P10" si="84">P5-K5</f>
        <v>-4.4792746113989637</v>
      </c>
      <c r="W10" s="38">
        <f t="shared" ref="W10" si="85">W5-R5</f>
        <v>7.7202072538860111</v>
      </c>
      <c r="AD10" s="38">
        <f t="shared" ref="AD10" si="86">AD5-Y5</f>
        <v>6.0958549222797931</v>
      </c>
      <c r="AK10" s="38">
        <f t="shared" ref="AK10" si="87">AK5-AF5</f>
        <v>3.0958549222797926</v>
      </c>
      <c r="AR10" s="38">
        <f t="shared" ref="AR10" si="88">AR5-AM5</f>
        <v>8.8082901554404236E-2</v>
      </c>
      <c r="AY10" s="38">
        <f t="shared" ref="AY10" si="89">AY5-AT5</f>
        <v>-0.19170984455958529</v>
      </c>
      <c r="BF10" s="38">
        <f t="shared" ref="BF10" si="90">BF5-BA5</f>
        <v>2.9844559585492236</v>
      </c>
      <c r="BM10" s="38">
        <f t="shared" ref="BM10" si="91">BM5-BH5</f>
        <v>-25.145077720207254</v>
      </c>
      <c r="BT10" s="38">
        <f t="shared" ref="BT10" si="92">BT5-BO5</f>
        <v>-7.8963730569948192</v>
      </c>
      <c r="CA10" s="38">
        <f t="shared" ref="CA10" si="93">CA5-BV5</f>
        <v>6.3678756476683933</v>
      </c>
      <c r="CH10" s="38">
        <f t="shared" ref="CH10" si="94">CH5-CC5</f>
        <v>-14.417098445595856</v>
      </c>
      <c r="CO10" s="38">
        <f t="shared" ref="CO10" si="95">CO5-CJ5</f>
        <v>-9.9766839378238341</v>
      </c>
      <c r="CV10" s="38">
        <f t="shared" ref="CV10" si="96">CV5-CQ5</f>
        <v>-11.248704663212436</v>
      </c>
      <c r="DC10" s="38">
        <f t="shared" ref="DC10" si="97">DC5-CX5</f>
        <v>8.1761658031088089</v>
      </c>
      <c r="DJ10" s="38">
        <f t="shared" ref="DJ10" si="98">DJ5-DE5</f>
        <v>-8.3367875647668406</v>
      </c>
      <c r="DQ10" s="38">
        <f t="shared" ref="DQ10" si="99">DQ5-DL5</f>
        <v>0.55181347150259041</v>
      </c>
      <c r="DX10" s="38">
        <f t="shared" ref="DX10" si="100">DX5-DS5</f>
        <v>-1.4637305699481864</v>
      </c>
      <c r="EE10" s="38">
        <f t="shared" ref="EE10" si="101">EE5-DZ5</f>
        <v>-1.6476683937823831</v>
      </c>
      <c r="EL10" s="38">
        <f t="shared" ref="EL10" si="102">EL5-EG5</f>
        <v>-3.3756476683937819</v>
      </c>
      <c r="ES10" s="38">
        <f t="shared" ref="ES10" si="103">ES5-EN5</f>
        <v>-1.9196891191709842</v>
      </c>
    </row>
    <row r="11" spans="1:149">
      <c r="A11" s="50" t="s">
        <v>21</v>
      </c>
      <c r="B11" s="50"/>
      <c r="I11" s="39">
        <f>J3-C3</f>
        <v>9.0277777777777457E-3</v>
      </c>
      <c r="P11" s="39">
        <f t="shared" ref="P11" si="104">Q3-J3</f>
        <v>3.4722222222222654E-3</v>
      </c>
      <c r="W11" s="39">
        <f t="shared" ref="W11" si="105">X3-Q3</f>
        <v>3.4722222222222099E-3</v>
      </c>
      <c r="AD11" s="39">
        <f t="shared" ref="AD11" si="106">AE3-X3</f>
        <v>2.0833333333333259E-3</v>
      </c>
      <c r="AK11" s="39">
        <f t="shared" ref="AK11" si="107">AL3-AE3</f>
        <v>1.6666666666666663E-2</v>
      </c>
      <c r="AR11" s="39">
        <f t="shared" ref="AR11" si="108">AS3-AL3</f>
        <v>3.4722222222222099E-3</v>
      </c>
      <c r="AY11" s="39">
        <f t="shared" ref="AY11" si="109">AZ3-AS3</f>
        <v>4.8611111111111494E-3</v>
      </c>
      <c r="BF11" s="39">
        <f t="shared" ref="BF11" si="110">BG3-AZ3</f>
        <v>6.597222222222221E-2</v>
      </c>
      <c r="BM11" s="39">
        <f t="shared" ref="BM11" si="111">BN3-BG3</f>
        <v>2.0138888888888873E-2</v>
      </c>
      <c r="BT11" s="39">
        <f t="shared" ref="BT11" si="112">BU3-BN3</f>
        <v>5.902777777777779E-2</v>
      </c>
      <c r="CA11" s="39">
        <f t="shared" ref="CA11" si="113">CB3-BU3</f>
        <v>1.1111111111111072E-2</v>
      </c>
      <c r="CH11" s="39">
        <f t="shared" ref="CH11" si="114">CI3-CB3</f>
        <v>1.2500000000000067E-2</v>
      </c>
      <c r="CO11" s="39">
        <f t="shared" ref="CO11" si="115">CP3-CI3</f>
        <v>4.2361111111111072E-2</v>
      </c>
      <c r="CV11" s="39">
        <f t="shared" ref="CV11" si="116">CW3-CP3</f>
        <v>6.944444444444442E-2</v>
      </c>
      <c r="DC11" s="39">
        <f t="shared" ref="DC11" si="117">DD3-CW3</f>
        <v>6.944444444444442E-2</v>
      </c>
      <c r="DJ11" s="39">
        <f t="shared" ref="DJ11" si="118">DK3-DD3</f>
        <v>6.2500000000000888E-3</v>
      </c>
      <c r="DQ11" s="39">
        <f t="shared" ref="DQ11" si="119">DR3-DK3</f>
        <v>1.4583333333333282E-2</v>
      </c>
      <c r="DX11" s="39">
        <f t="shared" ref="DX11" si="120">DY3-DR3</f>
        <v>6.7361111111111094E-2</v>
      </c>
      <c r="EE11" s="39">
        <f t="shared" ref="EE11" si="121">EF3-DY3</f>
        <v>4.1666666666666519E-3</v>
      </c>
      <c r="EL11" s="39">
        <f>EM3-EF3</f>
        <v>2.083333333333437E-3</v>
      </c>
      <c r="ES11" s="39">
        <f>ET3-ES3</f>
        <v>0</v>
      </c>
    </row>
    <row r="12" spans="1:149">
      <c r="A12" s="36" t="s">
        <v>1</v>
      </c>
      <c r="B12" s="36">
        <f>SUM(C12:FN12)</f>
        <v>-2.6711523699865698E-2</v>
      </c>
      <c r="I12" s="40">
        <f>(I10*I11)/60</f>
        <v>0</v>
      </c>
      <c r="P12" s="40">
        <f t="shared" ref="P12" si="122">(P10*P11)/60</f>
        <v>-2.5921728075225804E-4</v>
      </c>
      <c r="W12" s="40">
        <f t="shared" ref="W12" si="123">(W10*W11)/60</f>
        <v>4.4677125311840183E-4</v>
      </c>
      <c r="AD12" s="40">
        <f t="shared" ref="AD12" si="124">(AD10*AD11)/60</f>
        <v>2.116616292458254E-4</v>
      </c>
      <c r="AK12" s="40">
        <f t="shared" ref="AK12" si="125">(AK10*AK11)/60</f>
        <v>8.5995970063327556E-4</v>
      </c>
      <c r="AR12" s="40">
        <f t="shared" ref="AR12" si="126">(AR10*AR11)/60</f>
        <v>5.0973901362502274E-6</v>
      </c>
      <c r="AY12" s="40">
        <f t="shared" ref="AY12" si="127">(AY10*AY11)/60</f>
        <v>-1.5532047591633189E-5</v>
      </c>
      <c r="BF12" s="40">
        <f t="shared" ref="BF12" si="128">(BF10*BF11)/60</f>
        <v>3.2815198618307427E-3</v>
      </c>
      <c r="BM12" s="40">
        <f t="shared" ref="BM12" si="129">(BM10*BM11)/60</f>
        <v>-8.4398987718288174E-3</v>
      </c>
      <c r="BT12" s="40">
        <f t="shared" ref="BT12" si="130">(BT10*BT11)/60</f>
        <v>-7.7684225676453679E-3</v>
      </c>
      <c r="CA12" s="40">
        <f t="shared" ref="CA12" si="131">(CA10*CA11)/60</f>
        <v>1.1792362310496982E-3</v>
      </c>
      <c r="CH12" s="40">
        <f t="shared" ref="CH12" si="132">(CH10*CH11)/60</f>
        <v>-3.0035621761658193E-3</v>
      </c>
      <c r="CO12" s="40">
        <f t="shared" ref="CO12" si="133">(CO10*CO11)/60</f>
        <v>-7.0437236135098757E-3</v>
      </c>
      <c r="CV12" s="40">
        <f t="shared" ref="CV12" si="134">(CV10*CV11)/60</f>
        <v>-1.3019334100940314E-2</v>
      </c>
      <c r="DC12" s="40">
        <f t="shared" ref="DC12" si="135">(DC10*DC11)/60</f>
        <v>9.4631548647092674E-3</v>
      </c>
      <c r="DJ12" s="40">
        <f t="shared" ref="DJ12" si="136">(DJ10*DJ11)/60</f>
        <v>-8.6841537132989152E-4</v>
      </c>
      <c r="DQ12" s="40">
        <f t="shared" ref="DQ12" si="137">(DQ10*DQ11)/60</f>
        <v>1.3412132987910137E-4</v>
      </c>
      <c r="DX12" s="40">
        <f t="shared" ref="DX12" si="138">(DX10*DX11)/60</f>
        <v>-1.6433086259834959E-3</v>
      </c>
      <c r="EE12" s="40">
        <f t="shared" ref="EE12" si="139">(EE10*EE11)/60</f>
        <v>-1.144214162348873E-4</v>
      </c>
      <c r="EL12" s="40">
        <f t="shared" ref="EL12" si="140">(EL10*EL11)/60</f>
        <v>-1.1720998848590104E-4</v>
      </c>
      <c r="ES12" s="40">
        <f t="shared" ref="ES12" si="141">(ES10*ES11)/60</f>
        <v>0</v>
      </c>
    </row>
    <row r="13" spans="1:149">
      <c r="A13" t="s">
        <v>2</v>
      </c>
      <c r="B13" s="37">
        <v>80</v>
      </c>
    </row>
    <row r="14" spans="1:149">
      <c r="A14" t="s">
        <v>3</v>
      </c>
      <c r="B14" s="37">
        <f>B12*B13</f>
        <v>-2.1369218959892557</v>
      </c>
    </row>
    <row r="15" spans="1:149" ht="30">
      <c r="A15" s="22" t="s">
        <v>22</v>
      </c>
      <c r="B15" s="23" t="s">
        <v>23</v>
      </c>
      <c r="C15" s="22" t="s">
        <v>24</v>
      </c>
    </row>
    <row r="16" spans="1:149">
      <c r="A16" s="24">
        <v>105</v>
      </c>
      <c r="B16" s="25" t="s">
        <v>17</v>
      </c>
      <c r="C16" s="26">
        <f>A16/$A$19</f>
        <v>0.27202072538860106</v>
      </c>
    </row>
    <row r="17" spans="1:3">
      <c r="A17" s="24">
        <v>196</v>
      </c>
      <c r="B17" s="25" t="s">
        <v>18</v>
      </c>
      <c r="C17" s="26">
        <f t="shared" ref="C17:C18" si="142">A17/$A$19</f>
        <v>0.50777202072538863</v>
      </c>
    </row>
    <row r="18" spans="1:3">
      <c r="A18" s="24">
        <v>85</v>
      </c>
      <c r="B18" s="25" t="s">
        <v>19</v>
      </c>
      <c r="C18" s="26">
        <f t="shared" si="142"/>
        <v>0.22020725388601037</v>
      </c>
    </row>
    <row r="19" spans="1:3">
      <c r="A19" s="27">
        <f>SUM(A16:A18)</f>
        <v>386</v>
      </c>
      <c r="B19" s="28"/>
      <c r="C19" s="29"/>
    </row>
    <row r="114" spans="3:23">
      <c r="C114" t="s">
        <v>25</v>
      </c>
      <c r="D114" t="s">
        <v>26</v>
      </c>
      <c r="E114" t="s">
        <v>27</v>
      </c>
      <c r="F114" t="s">
        <v>28</v>
      </c>
      <c r="G114" t="s">
        <v>29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s">
        <v>35</v>
      </c>
      <c r="N114" t="s">
        <v>36</v>
      </c>
      <c r="O114" t="s">
        <v>37</v>
      </c>
      <c r="P114" t="s">
        <v>38</v>
      </c>
      <c r="Q114" t="s">
        <v>39</v>
      </c>
      <c r="R114" t="s">
        <v>40</v>
      </c>
      <c r="S114" t="s">
        <v>41</v>
      </c>
      <c r="T114" t="s">
        <v>42</v>
      </c>
      <c r="U114" t="s">
        <v>43</v>
      </c>
      <c r="V114" t="s">
        <v>44</v>
      </c>
      <c r="W114" t="s">
        <v>45</v>
      </c>
    </row>
    <row r="115" spans="3:23">
      <c r="C115" s="33">
        <f>E5</f>
        <v>13.5</v>
      </c>
      <c r="D115" s="33">
        <f>L5</f>
        <v>28.5</v>
      </c>
      <c r="E115" s="33">
        <f>S5</f>
        <v>24.4</v>
      </c>
      <c r="F115" s="33">
        <f>Z5</f>
        <v>20.7</v>
      </c>
      <c r="G115" s="33">
        <f>AG5</f>
        <v>15.3</v>
      </c>
      <c r="H115" s="33">
        <f>AN5</f>
        <v>16.2</v>
      </c>
      <c r="I115" s="33">
        <f>AU5</f>
        <v>19.2</v>
      </c>
      <c r="J115" s="33">
        <f>BB5</f>
        <v>23.9</v>
      </c>
      <c r="K115" s="33">
        <f>BI5</f>
        <v>35.299999999999997</v>
      </c>
      <c r="L115" s="33">
        <f>BP5</f>
        <v>38.299999999999997</v>
      </c>
      <c r="M115" s="33">
        <f>BW5</f>
        <v>30</v>
      </c>
      <c r="N115" s="33">
        <f>CD5</f>
        <v>29.9</v>
      </c>
      <c r="O115" s="33">
        <f>CK5</f>
        <v>30.7</v>
      </c>
      <c r="P115" s="33">
        <f>CR5</f>
        <v>33.200000000000003</v>
      </c>
      <c r="Q115" s="33">
        <f>CY5</f>
        <v>26.6</v>
      </c>
      <c r="R115" s="33">
        <f>DF5</f>
        <v>24.6</v>
      </c>
      <c r="S115" s="33">
        <f>DM5</f>
        <v>22.2</v>
      </c>
      <c r="T115" s="33">
        <f>DT5</f>
        <v>27.3</v>
      </c>
      <c r="U115" s="33">
        <f>EA5</f>
        <v>32.6</v>
      </c>
      <c r="V115" s="33">
        <f>EH5</f>
        <v>34.9</v>
      </c>
      <c r="W115" s="33">
        <f>EO5</f>
        <v>33</v>
      </c>
    </row>
    <row r="116" spans="3:23">
      <c r="C116" s="33">
        <f>E6</f>
        <v>5.6</v>
      </c>
      <c r="D116" s="33">
        <f>L6</f>
        <v>21</v>
      </c>
      <c r="E116" s="33">
        <f>S6</f>
        <v>25.2</v>
      </c>
      <c r="F116" s="33">
        <f>Z6</f>
        <v>27.8</v>
      </c>
      <c r="G116" s="33">
        <f>AG6</f>
        <v>27.7</v>
      </c>
      <c r="H116" s="33">
        <f>AN6</f>
        <v>29.3</v>
      </c>
      <c r="I116" s="33">
        <f>AU6</f>
        <v>34.9</v>
      </c>
      <c r="J116" s="33">
        <f>BB6</f>
        <v>43.3</v>
      </c>
      <c r="K116" s="33">
        <f>BI6</f>
        <v>64</v>
      </c>
      <c r="L116" s="33">
        <f>BP6</f>
        <v>69.3</v>
      </c>
      <c r="M116" s="33">
        <f>BW6</f>
        <v>76.400000000000006</v>
      </c>
      <c r="N116" s="33">
        <f>CD6</f>
        <v>76.400000000000006</v>
      </c>
      <c r="O116" s="33">
        <f>CK6</f>
        <v>76.400000000000006</v>
      </c>
      <c r="P116" s="33">
        <f>CR6</f>
        <v>76.400000000000006</v>
      </c>
      <c r="Q116" s="33">
        <f>CY6</f>
        <v>78.599999999999994</v>
      </c>
      <c r="R116" s="33">
        <f>DF6</f>
        <v>44.7</v>
      </c>
      <c r="S116" s="33">
        <f>DM6</f>
        <v>40.299999999999997</v>
      </c>
      <c r="T116" s="33">
        <f>DT6</f>
        <v>49.4</v>
      </c>
      <c r="U116" s="33">
        <f>EA6</f>
        <v>22.3</v>
      </c>
      <c r="V116" s="33">
        <f>EH6</f>
        <v>18</v>
      </c>
      <c r="W116" s="33">
        <f>EO6</f>
        <v>16.3</v>
      </c>
    </row>
    <row r="117" spans="3:23">
      <c r="C117" s="33">
        <f>E7</f>
        <v>9.9</v>
      </c>
      <c r="D117" s="33">
        <f>L7</f>
        <v>22.9</v>
      </c>
      <c r="E117" s="33">
        <f>S7</f>
        <v>19.2</v>
      </c>
      <c r="F117" s="33">
        <f>Z7</f>
        <v>16.3</v>
      </c>
      <c r="G117" s="33">
        <f>AG7</f>
        <v>12</v>
      </c>
      <c r="H117" s="33">
        <f>AN7</f>
        <v>12.7</v>
      </c>
      <c r="I117" s="33">
        <f>AU7</f>
        <v>15.1</v>
      </c>
      <c r="J117" s="33">
        <f>BB7</f>
        <v>18.8</v>
      </c>
      <c r="K117" s="33">
        <f>BI7</f>
        <v>27.7</v>
      </c>
      <c r="L117" s="33">
        <f>BP7</f>
        <v>30.1</v>
      </c>
      <c r="M117" s="33">
        <f>BW7</f>
        <v>23.6</v>
      </c>
      <c r="N117" s="33">
        <f>CD7</f>
        <v>23.5</v>
      </c>
      <c r="O117" s="33">
        <f>CK7</f>
        <v>24.2</v>
      </c>
      <c r="P117" s="33">
        <f>CR7</f>
        <v>26.1</v>
      </c>
      <c r="Q117" s="33">
        <f>CY7</f>
        <v>20.9</v>
      </c>
      <c r="R117" s="33">
        <f>DF7</f>
        <v>19.399999999999999</v>
      </c>
      <c r="S117" s="33">
        <f>DM7</f>
        <v>17.5</v>
      </c>
      <c r="T117" s="33">
        <f>DT7</f>
        <v>21.4</v>
      </c>
      <c r="U117" s="33">
        <f>EA7</f>
        <v>25.6</v>
      </c>
      <c r="V117" s="33">
        <f>EH7</f>
        <v>29.3</v>
      </c>
      <c r="W117" s="33">
        <f>EO7</f>
        <v>27.4</v>
      </c>
    </row>
    <row r="118" spans="3:23">
      <c r="S118" s="33"/>
    </row>
    <row r="119" spans="3:23">
      <c r="S119" s="33"/>
    </row>
    <row r="120" spans="3:23">
      <c r="S120" s="33"/>
    </row>
  </sheetData>
  <mergeCells count="25">
    <mergeCell ref="EM3:EO3"/>
    <mergeCell ref="A3:A4"/>
    <mergeCell ref="BU3:BW3"/>
    <mergeCell ref="BG3:BI3"/>
    <mergeCell ref="CI3:CK3"/>
    <mergeCell ref="CW3:CY3"/>
    <mergeCell ref="BN3:BP3"/>
    <mergeCell ref="DK3:DM3"/>
    <mergeCell ref="DY3:EA3"/>
    <mergeCell ref="CP3:CR3"/>
    <mergeCell ref="DR3:DT3"/>
    <mergeCell ref="DD3:DF3"/>
    <mergeCell ref="B3:B4"/>
    <mergeCell ref="AZ3:BB3"/>
    <mergeCell ref="CB3:CD3"/>
    <mergeCell ref="AS3:AU3"/>
    <mergeCell ref="A10:B10"/>
    <mergeCell ref="A11:B11"/>
    <mergeCell ref="EF3:EH3"/>
    <mergeCell ref="J3:P3"/>
    <mergeCell ref="C3:I3"/>
    <mergeCell ref="Q3:W3"/>
    <mergeCell ref="X3:AD3"/>
    <mergeCell ref="AE3:AK3"/>
    <mergeCell ref="AL3:AR3"/>
  </mergeCells>
  <pageMargins left="0.75" right="0.75" top="1" bottom="1" header="0.5" footer="0.5"/>
  <pageSetup paperSize="386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S117"/>
  <sheetViews>
    <sheetView topLeftCell="B10" zoomScaleNormal="100" workbookViewId="0">
      <selection activeCell="Q24" sqref="Q24"/>
    </sheetView>
  </sheetViews>
  <sheetFormatPr defaultColWidth="9.140625" defaultRowHeight="15"/>
  <cols>
    <col min="1" max="1" width="15" customWidth="1"/>
    <col min="2" max="2" width="25" customWidth="1"/>
    <col min="3" max="82" width="14" customWidth="1"/>
    <col min="83" max="93" width="9.140625" bestFit="1" customWidth="1"/>
    <col min="94" max="94" width="9.28515625" bestFit="1" customWidth="1"/>
    <col min="95" max="107" width="9.140625" bestFit="1" customWidth="1"/>
    <col min="108" max="108" width="9.28515625" bestFit="1" customWidth="1"/>
    <col min="109" max="121" width="9.140625" bestFit="1" customWidth="1"/>
    <col min="122" max="122" width="9.28515625" bestFit="1" customWidth="1"/>
    <col min="123" max="135" width="9.140625" bestFit="1" customWidth="1"/>
    <col min="136" max="136" width="9.28515625" bestFit="1" customWidth="1"/>
    <col min="137" max="149" width="9.140625" bestFit="1" customWidth="1"/>
  </cols>
  <sheetData>
    <row r="1" spans="1:149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149" ht="27" customHeight="1" thickBot="1">
      <c r="A2" s="2"/>
    </row>
    <row r="3" spans="1:149" ht="16.5" thickBot="1">
      <c r="A3" s="58" t="s">
        <v>5</v>
      </c>
      <c r="B3" s="58" t="s">
        <v>6</v>
      </c>
      <c r="C3" s="55">
        <v>0.30555555555555558</v>
      </c>
      <c r="D3" s="56"/>
      <c r="E3" s="56"/>
      <c r="F3" s="56"/>
      <c r="G3" s="56"/>
      <c r="H3" s="56"/>
      <c r="I3" s="57"/>
      <c r="J3" s="52">
        <v>0.32083333333333336</v>
      </c>
      <c r="K3" s="53"/>
      <c r="L3" s="53"/>
      <c r="M3" s="53"/>
      <c r="N3" s="53"/>
      <c r="O3" s="53"/>
      <c r="P3" s="54"/>
      <c r="Q3" s="55">
        <v>0.32361111111111113</v>
      </c>
      <c r="R3" s="56"/>
      <c r="S3" s="56"/>
      <c r="T3" s="56"/>
      <c r="U3" s="56"/>
      <c r="V3" s="56"/>
      <c r="W3" s="57"/>
      <c r="X3" s="52">
        <v>0.34375</v>
      </c>
      <c r="Y3" s="53"/>
      <c r="Z3" s="53"/>
      <c r="AA3" s="53"/>
      <c r="AB3" s="53"/>
      <c r="AC3" s="53"/>
      <c r="AD3" s="54"/>
      <c r="AE3" s="55">
        <v>0.35902777777777778</v>
      </c>
      <c r="AF3" s="56"/>
      <c r="AG3" s="56"/>
      <c r="AH3" s="56"/>
      <c r="AI3" s="56"/>
      <c r="AJ3" s="56"/>
      <c r="AK3" s="57"/>
      <c r="AL3" s="55">
        <v>0.38750000000000001</v>
      </c>
      <c r="AM3" s="56"/>
      <c r="AN3" s="56"/>
      <c r="AO3" s="56"/>
      <c r="AP3" s="56"/>
      <c r="AQ3" s="56"/>
      <c r="AR3" s="57"/>
      <c r="AS3" s="52">
        <v>0.40555555555555556</v>
      </c>
      <c r="AT3" s="53"/>
      <c r="AU3" s="53"/>
      <c r="AV3" s="53"/>
      <c r="AW3" s="53"/>
      <c r="AX3" s="53"/>
      <c r="AY3" s="54"/>
      <c r="AZ3" s="60">
        <v>0.44861111111111113</v>
      </c>
      <c r="BA3" s="61"/>
      <c r="BB3" s="61"/>
      <c r="BC3" s="61"/>
      <c r="BD3" s="61"/>
      <c r="BE3" s="61"/>
      <c r="BF3" s="62"/>
      <c r="BG3" s="52">
        <v>0.46388888888888891</v>
      </c>
      <c r="BH3" s="53"/>
      <c r="BI3" s="53"/>
      <c r="BJ3" s="53"/>
      <c r="BK3" s="53"/>
      <c r="BL3" s="53"/>
      <c r="BM3" s="54"/>
      <c r="BN3" s="60">
        <v>0.4909722222222222</v>
      </c>
      <c r="BO3" s="61"/>
      <c r="BP3" s="61"/>
      <c r="BQ3" s="61"/>
      <c r="BR3" s="61"/>
      <c r="BS3" s="61"/>
      <c r="BT3" s="62"/>
      <c r="BU3" s="52">
        <v>0.5180555555555556</v>
      </c>
      <c r="BV3" s="53"/>
      <c r="BW3" s="53"/>
      <c r="BX3" s="53"/>
      <c r="BY3" s="53"/>
      <c r="BZ3" s="53"/>
      <c r="CA3" s="54"/>
      <c r="CB3" s="51">
        <v>0.52222222222222225</v>
      </c>
      <c r="CC3" s="65"/>
      <c r="CD3" s="66"/>
      <c r="CE3" s="16"/>
      <c r="CF3" s="16"/>
      <c r="CG3" s="16"/>
      <c r="CH3" s="16"/>
      <c r="CI3" s="52">
        <v>0.55555555555555558</v>
      </c>
      <c r="CJ3" s="53"/>
      <c r="CK3" s="53"/>
      <c r="CL3" s="53"/>
      <c r="CM3" s="53"/>
      <c r="CN3" s="53"/>
      <c r="CO3" s="54"/>
      <c r="CP3" s="60">
        <v>0.67013888888888884</v>
      </c>
      <c r="CQ3" s="61"/>
      <c r="CR3" s="61"/>
      <c r="CS3" s="61"/>
      <c r="CT3" s="61"/>
      <c r="CU3" s="61"/>
      <c r="CV3" s="62"/>
      <c r="CW3" s="52">
        <v>0.69652777777777775</v>
      </c>
      <c r="CX3" s="53"/>
      <c r="CY3" s="53"/>
      <c r="CZ3" s="53"/>
      <c r="DA3" s="53"/>
      <c r="DB3" s="53"/>
      <c r="DC3" s="54"/>
      <c r="DD3" s="60">
        <v>0.70347222222222228</v>
      </c>
      <c r="DE3" s="61"/>
      <c r="DF3" s="61"/>
      <c r="DG3" s="61"/>
      <c r="DH3" s="61"/>
      <c r="DI3" s="61"/>
      <c r="DJ3" s="62"/>
      <c r="DK3" s="52">
        <v>0.73333333333333328</v>
      </c>
      <c r="DL3" s="53"/>
      <c r="DM3" s="53"/>
      <c r="DN3" s="53"/>
      <c r="DO3" s="53"/>
      <c r="DP3" s="53"/>
      <c r="DQ3" s="54"/>
      <c r="DR3" s="51">
        <v>0.75763888888888886</v>
      </c>
      <c r="DS3" s="65"/>
      <c r="DT3" s="66"/>
      <c r="DU3" s="16"/>
      <c r="DV3" s="16"/>
      <c r="DW3" s="16"/>
      <c r="DX3" s="16"/>
      <c r="DY3" s="52">
        <v>0.76180555555555551</v>
      </c>
      <c r="DZ3" s="53"/>
      <c r="EA3" s="53"/>
      <c r="EB3" s="53"/>
      <c r="EC3" s="53"/>
      <c r="ED3" s="53"/>
      <c r="EE3" s="54"/>
      <c r="EF3" s="60">
        <v>0.79513888888888884</v>
      </c>
      <c r="EG3" s="61"/>
      <c r="EH3" s="61"/>
      <c r="EI3" s="61"/>
      <c r="EJ3" s="61"/>
      <c r="EK3" s="61"/>
      <c r="EL3" s="62"/>
      <c r="EM3" s="52">
        <v>0.79791666666666672</v>
      </c>
      <c r="EN3" s="53"/>
      <c r="EO3" s="53"/>
      <c r="EP3" s="53"/>
      <c r="EQ3" s="53"/>
      <c r="ER3" s="53"/>
      <c r="ES3" s="54"/>
    </row>
    <row r="4" spans="1:149" ht="59.25" customHeight="1" thickBot="1">
      <c r="A4" s="67"/>
      <c r="B4" s="67"/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1" t="s">
        <v>7</v>
      </c>
      <c r="K4" s="31" t="s">
        <v>8</v>
      </c>
      <c r="L4" s="31" t="s">
        <v>9</v>
      </c>
      <c r="M4" s="31" t="s">
        <v>10</v>
      </c>
      <c r="N4" s="31" t="s">
        <v>11</v>
      </c>
      <c r="O4" s="31" t="s">
        <v>12</v>
      </c>
      <c r="P4" s="31" t="s">
        <v>13</v>
      </c>
      <c r="Q4" s="30" t="s">
        <v>7</v>
      </c>
      <c r="R4" s="30" t="s">
        <v>8</v>
      </c>
      <c r="S4" s="30" t="s">
        <v>9</v>
      </c>
      <c r="T4" s="30" t="s">
        <v>10</v>
      </c>
      <c r="U4" s="30" t="s">
        <v>11</v>
      </c>
      <c r="V4" s="30" t="s">
        <v>12</v>
      </c>
      <c r="W4" s="30" t="s">
        <v>13</v>
      </c>
      <c r="X4" s="31" t="s">
        <v>7</v>
      </c>
      <c r="Y4" s="31" t="s">
        <v>8</v>
      </c>
      <c r="Z4" s="31" t="s">
        <v>9</v>
      </c>
      <c r="AA4" s="32" t="s">
        <v>10</v>
      </c>
      <c r="AB4" s="32" t="s">
        <v>11</v>
      </c>
      <c r="AC4" s="32" t="s">
        <v>12</v>
      </c>
      <c r="AD4" s="32" t="s">
        <v>13</v>
      </c>
      <c r="AE4" s="34" t="s">
        <v>7</v>
      </c>
      <c r="AF4" s="34" t="s">
        <v>8</v>
      </c>
      <c r="AG4" s="34" t="s">
        <v>9</v>
      </c>
      <c r="AH4" s="30" t="s">
        <v>10</v>
      </c>
      <c r="AI4" s="30" t="s">
        <v>11</v>
      </c>
      <c r="AJ4" s="30" t="s">
        <v>12</v>
      </c>
      <c r="AK4" s="30" t="s">
        <v>13</v>
      </c>
      <c r="AL4" s="30" t="s">
        <v>7</v>
      </c>
      <c r="AM4" s="30" t="s">
        <v>8</v>
      </c>
      <c r="AN4" s="30" t="s">
        <v>9</v>
      </c>
      <c r="AO4" s="30" t="s">
        <v>10</v>
      </c>
      <c r="AP4" s="30" t="s">
        <v>11</v>
      </c>
      <c r="AQ4" s="30" t="s">
        <v>12</v>
      </c>
      <c r="AR4" s="30" t="s">
        <v>13</v>
      </c>
      <c r="AS4" s="31" t="s">
        <v>7</v>
      </c>
      <c r="AT4" s="31" t="s">
        <v>8</v>
      </c>
      <c r="AU4" s="31" t="s">
        <v>9</v>
      </c>
      <c r="AV4" s="32" t="s">
        <v>10</v>
      </c>
      <c r="AW4" s="32" t="s">
        <v>11</v>
      </c>
      <c r="AX4" s="32" t="s">
        <v>12</v>
      </c>
      <c r="AY4" s="32" t="s">
        <v>13</v>
      </c>
      <c r="AZ4" s="30" t="s">
        <v>7</v>
      </c>
      <c r="BA4" s="30" t="s">
        <v>8</v>
      </c>
      <c r="BB4" s="30" t="s">
        <v>9</v>
      </c>
      <c r="BC4" s="30" t="s">
        <v>10</v>
      </c>
      <c r="BD4" s="30" t="s">
        <v>11</v>
      </c>
      <c r="BE4" s="30" t="s">
        <v>12</v>
      </c>
      <c r="BF4" s="30" t="s">
        <v>13</v>
      </c>
      <c r="BG4" s="31" t="s">
        <v>7</v>
      </c>
      <c r="BH4" s="31" t="s">
        <v>8</v>
      </c>
      <c r="BI4" s="31" t="s">
        <v>9</v>
      </c>
      <c r="BJ4" s="32" t="s">
        <v>10</v>
      </c>
      <c r="BK4" s="32" t="s">
        <v>11</v>
      </c>
      <c r="BL4" s="32" t="s">
        <v>12</v>
      </c>
      <c r="BM4" s="32" t="s">
        <v>13</v>
      </c>
      <c r="BN4" s="30" t="s">
        <v>7</v>
      </c>
      <c r="BO4" s="30" t="s">
        <v>8</v>
      </c>
      <c r="BP4" s="30" t="s">
        <v>9</v>
      </c>
      <c r="BQ4" s="30" t="s">
        <v>10</v>
      </c>
      <c r="BR4" s="30" t="s">
        <v>11</v>
      </c>
      <c r="BS4" s="30" t="s">
        <v>12</v>
      </c>
      <c r="BT4" s="30" t="s">
        <v>13</v>
      </c>
      <c r="BU4" s="31" t="s">
        <v>7</v>
      </c>
      <c r="BV4" s="31" t="s">
        <v>8</v>
      </c>
      <c r="BW4" s="31" t="s">
        <v>9</v>
      </c>
      <c r="BX4" s="32" t="s">
        <v>10</v>
      </c>
      <c r="BY4" s="32" t="s">
        <v>11</v>
      </c>
      <c r="BZ4" s="32" t="s">
        <v>12</v>
      </c>
      <c r="CA4" s="32" t="s">
        <v>13</v>
      </c>
      <c r="CB4" s="30" t="s">
        <v>7</v>
      </c>
      <c r="CC4" s="30" t="s">
        <v>8</v>
      </c>
      <c r="CD4" s="30" t="s">
        <v>9</v>
      </c>
      <c r="CE4" s="30" t="s">
        <v>10</v>
      </c>
      <c r="CF4" s="30" t="s">
        <v>11</v>
      </c>
      <c r="CG4" s="30" t="s">
        <v>12</v>
      </c>
      <c r="CH4" s="30" t="s">
        <v>13</v>
      </c>
      <c r="CI4" s="31" t="s">
        <v>7</v>
      </c>
      <c r="CJ4" s="31" t="s">
        <v>8</v>
      </c>
      <c r="CK4" s="31" t="s">
        <v>9</v>
      </c>
      <c r="CL4" s="32" t="s">
        <v>10</v>
      </c>
      <c r="CM4" s="32" t="s">
        <v>11</v>
      </c>
      <c r="CN4" s="32" t="s">
        <v>12</v>
      </c>
      <c r="CO4" s="32" t="s">
        <v>13</v>
      </c>
      <c r="CP4" s="30" t="s">
        <v>7</v>
      </c>
      <c r="CQ4" s="30" t="s">
        <v>8</v>
      </c>
      <c r="CR4" s="30" t="s">
        <v>9</v>
      </c>
      <c r="CS4" s="30" t="s">
        <v>10</v>
      </c>
      <c r="CT4" s="30" t="s">
        <v>11</v>
      </c>
      <c r="CU4" s="30" t="s">
        <v>12</v>
      </c>
      <c r="CV4" s="30" t="s">
        <v>13</v>
      </c>
      <c r="CW4" s="31" t="s">
        <v>7</v>
      </c>
      <c r="CX4" s="31" t="s">
        <v>8</v>
      </c>
      <c r="CY4" s="31" t="s">
        <v>9</v>
      </c>
      <c r="CZ4" s="32" t="s">
        <v>10</v>
      </c>
      <c r="DA4" s="32" t="s">
        <v>11</v>
      </c>
      <c r="DB4" s="32" t="s">
        <v>12</v>
      </c>
      <c r="DC4" s="32" t="s">
        <v>13</v>
      </c>
      <c r="DD4" s="30" t="s">
        <v>7</v>
      </c>
      <c r="DE4" s="30" t="s">
        <v>8</v>
      </c>
      <c r="DF4" s="30" t="s">
        <v>9</v>
      </c>
      <c r="DG4" s="30" t="s">
        <v>10</v>
      </c>
      <c r="DH4" s="30" t="s">
        <v>11</v>
      </c>
      <c r="DI4" s="30" t="s">
        <v>12</v>
      </c>
      <c r="DJ4" s="30" t="s">
        <v>13</v>
      </c>
      <c r="DK4" s="31" t="s">
        <v>7</v>
      </c>
      <c r="DL4" s="31" t="s">
        <v>8</v>
      </c>
      <c r="DM4" s="31" t="s">
        <v>9</v>
      </c>
      <c r="DN4" s="32" t="s">
        <v>10</v>
      </c>
      <c r="DO4" s="32" t="s">
        <v>11</v>
      </c>
      <c r="DP4" s="32" t="s">
        <v>12</v>
      </c>
      <c r="DQ4" s="32" t="s">
        <v>13</v>
      </c>
      <c r="DR4" s="30" t="s">
        <v>7</v>
      </c>
      <c r="DS4" s="30" t="s">
        <v>8</v>
      </c>
      <c r="DT4" s="30" t="s">
        <v>9</v>
      </c>
      <c r="DU4" s="30" t="s">
        <v>10</v>
      </c>
      <c r="DV4" s="30" t="s">
        <v>11</v>
      </c>
      <c r="DW4" s="30" t="s">
        <v>12</v>
      </c>
      <c r="DX4" s="30" t="s">
        <v>13</v>
      </c>
      <c r="DY4" s="31" t="s">
        <v>7</v>
      </c>
      <c r="DZ4" s="31" t="s">
        <v>8</v>
      </c>
      <c r="EA4" s="31" t="s">
        <v>9</v>
      </c>
      <c r="EB4" s="32" t="s">
        <v>10</v>
      </c>
      <c r="EC4" s="32" t="s">
        <v>11</v>
      </c>
      <c r="ED4" s="32" t="s">
        <v>12</v>
      </c>
      <c r="EE4" s="32" t="s">
        <v>13</v>
      </c>
      <c r="EF4" s="30" t="s">
        <v>7</v>
      </c>
      <c r="EG4" s="30" t="s">
        <v>8</v>
      </c>
      <c r="EH4" s="30" t="s">
        <v>9</v>
      </c>
      <c r="EI4" s="30" t="s">
        <v>10</v>
      </c>
      <c r="EJ4" s="30" t="s">
        <v>11</v>
      </c>
      <c r="EK4" s="30" t="s">
        <v>12</v>
      </c>
      <c r="EL4" s="30" t="s">
        <v>13</v>
      </c>
      <c r="EM4" s="31" t="s">
        <v>7</v>
      </c>
      <c r="EN4" s="31" t="s">
        <v>8</v>
      </c>
      <c r="EO4" s="31" t="s">
        <v>9</v>
      </c>
      <c r="EP4" s="32" t="s">
        <v>10</v>
      </c>
      <c r="EQ4" s="32" t="s">
        <v>11</v>
      </c>
      <c r="ER4" s="32" t="s">
        <v>12</v>
      </c>
      <c r="ES4" s="32" t="s">
        <v>13</v>
      </c>
    </row>
    <row r="5" spans="1:149">
      <c r="A5" s="6">
        <v>45963</v>
      </c>
      <c r="B5" s="7" t="s">
        <v>17</v>
      </c>
      <c r="C5" s="8">
        <v>10</v>
      </c>
      <c r="D5" s="9">
        <v>0</v>
      </c>
      <c r="E5" s="10">
        <v>9.9</v>
      </c>
      <c r="F5" s="19">
        <f>IF($D$8=0,0,D5/$D$8)</f>
        <v>0</v>
      </c>
      <c r="G5" s="19">
        <f>C12</f>
        <v>0</v>
      </c>
      <c r="H5" s="19">
        <f>F5-G5</f>
        <v>0</v>
      </c>
      <c r="I5" s="20">
        <f>G5*$D$8</f>
        <v>0</v>
      </c>
      <c r="J5" s="8">
        <v>10</v>
      </c>
      <c r="K5" s="9">
        <v>12</v>
      </c>
      <c r="L5" s="10">
        <v>22</v>
      </c>
      <c r="M5" s="19">
        <f>IF($K$8=0,0,J5/$K$8)</f>
        <v>0.24390243902439024</v>
      </c>
      <c r="N5" s="19">
        <f>C16</f>
        <v>0.27202072538860106</v>
      </c>
      <c r="O5" s="19">
        <f>M5-N5</f>
        <v>-2.8118286364210821E-2</v>
      </c>
      <c r="P5" s="20">
        <f>N5*$K$8</f>
        <v>11.152849740932643</v>
      </c>
      <c r="Q5" s="8">
        <v>22</v>
      </c>
      <c r="R5" s="9">
        <v>-8</v>
      </c>
      <c r="S5" s="10">
        <v>14.5</v>
      </c>
      <c r="T5" s="19">
        <f>R5/$R$8</f>
        <v>-0.44444444444444442</v>
      </c>
      <c r="U5" s="19">
        <f>C16</f>
        <v>0.27202072538860106</v>
      </c>
      <c r="V5" s="19">
        <f>T5-U5</f>
        <v>-0.71646516983304553</v>
      </c>
      <c r="W5" s="20">
        <f>U5*$R$8</f>
        <v>4.8963730569948192</v>
      </c>
      <c r="X5" s="8">
        <v>15</v>
      </c>
      <c r="Y5" s="9">
        <v>3</v>
      </c>
      <c r="Z5" s="10">
        <v>17.7</v>
      </c>
      <c r="AA5" s="19">
        <f>Y5/Y8</f>
        <v>8.8235294117647065E-2</v>
      </c>
      <c r="AB5" s="19">
        <f>C16</f>
        <v>0.27202072538860106</v>
      </c>
      <c r="AC5" s="19">
        <f>AA5-AB5</f>
        <v>-0.18378543127095398</v>
      </c>
      <c r="AD5" s="20">
        <f>AB5*Y8</f>
        <v>9.2487046632124361</v>
      </c>
      <c r="AE5" s="8">
        <v>18</v>
      </c>
      <c r="AF5" s="9">
        <v>2</v>
      </c>
      <c r="AG5" s="10">
        <v>20.5</v>
      </c>
      <c r="AH5" s="19">
        <f>AF5/$AF$8</f>
        <v>5.4054054054054057E-2</v>
      </c>
      <c r="AI5" s="19">
        <f>C16</f>
        <v>0.27202072538860106</v>
      </c>
      <c r="AJ5" s="19">
        <f>AH5-AI5</f>
        <v>-0.217966671334547</v>
      </c>
      <c r="AK5" s="20">
        <f>AI5*$AF$8</f>
        <v>10.064766839378239</v>
      </c>
      <c r="AL5" s="8">
        <v>21</v>
      </c>
      <c r="AM5" s="9">
        <v>3</v>
      </c>
      <c r="AN5" s="10">
        <v>24.5</v>
      </c>
      <c r="AO5" s="19">
        <f>AM5/$AM$8</f>
        <v>0.21428571428571427</v>
      </c>
      <c r="AP5" s="19">
        <f>C16</f>
        <v>0.27202072538860106</v>
      </c>
      <c r="AQ5" s="19">
        <f>AO5-AP5</f>
        <v>-5.7735011102886785E-2</v>
      </c>
      <c r="AR5" s="20">
        <f>AP5*$AM$8</f>
        <v>3.8082901554404147</v>
      </c>
      <c r="AS5" s="8">
        <v>25</v>
      </c>
      <c r="AT5" s="9">
        <v>3</v>
      </c>
      <c r="AU5" s="10">
        <v>28.4</v>
      </c>
      <c r="AV5" s="19">
        <f>AT5/$AT$8</f>
        <v>0.2</v>
      </c>
      <c r="AW5" s="19">
        <f>C16</f>
        <v>0.27202072538860106</v>
      </c>
      <c r="AX5" s="19">
        <f>AV5-AW5</f>
        <v>-7.2020725388601048E-2</v>
      </c>
      <c r="AY5" s="20">
        <f>AW5*$AT$8</f>
        <v>4.0803108808290158</v>
      </c>
      <c r="AZ5" s="8">
        <v>28</v>
      </c>
      <c r="BA5" s="9">
        <v>3</v>
      </c>
      <c r="BB5" s="10">
        <v>31.3</v>
      </c>
      <c r="BC5" s="19">
        <f>BA5/$BA$8</f>
        <v>0.15</v>
      </c>
      <c r="BD5" s="19">
        <f>C16</f>
        <v>0.27202072538860106</v>
      </c>
      <c r="BE5" s="19">
        <f>BC5-BD5</f>
        <v>-0.12202072538860106</v>
      </c>
      <c r="BF5" s="20">
        <f>BD5*$BA$8</f>
        <v>5.4404145077720214</v>
      </c>
      <c r="BG5" s="8">
        <v>31</v>
      </c>
      <c r="BH5" s="9">
        <v>10</v>
      </c>
      <c r="BI5" s="10">
        <v>41.4</v>
      </c>
      <c r="BJ5" s="19">
        <f>BH5/$BH$8</f>
        <v>-0.83333333333333337</v>
      </c>
      <c r="BK5" s="19">
        <f>C16</f>
        <v>0.27202072538860106</v>
      </c>
      <c r="BL5" s="19">
        <f>BJ5-BK5</f>
        <v>-1.1053540587219344</v>
      </c>
      <c r="BM5" s="20">
        <f>BK5*$BH$8</f>
        <v>-3.2642487046632125</v>
      </c>
      <c r="BN5" s="8">
        <v>41</v>
      </c>
      <c r="BO5" s="9">
        <v>-4</v>
      </c>
      <c r="BP5" s="10">
        <v>36.700000000000003</v>
      </c>
      <c r="BQ5" s="19">
        <f>BO5/$BO$8</f>
        <v>-0.12121212121212122</v>
      </c>
      <c r="BR5" s="19">
        <f>C16</f>
        <v>0.27202072538860106</v>
      </c>
      <c r="BS5" s="19">
        <f>BQ5-BR5</f>
        <v>-0.39323284660072227</v>
      </c>
      <c r="BT5" s="20">
        <f>BR5*$BO$8</f>
        <v>8.9766839378238341</v>
      </c>
      <c r="BU5" s="8">
        <v>37</v>
      </c>
      <c r="BV5" s="9">
        <v>3</v>
      </c>
      <c r="BW5" s="10">
        <v>40</v>
      </c>
      <c r="BX5" s="19">
        <f>BV5/$BV$8</f>
        <v>-0.15</v>
      </c>
      <c r="BY5" s="19">
        <f>C16</f>
        <v>0.27202072538860106</v>
      </c>
      <c r="BZ5" s="19">
        <f>BX5-BY5</f>
        <v>-0.42202072538860103</v>
      </c>
      <c r="CA5" s="20">
        <f>BY5*$BV$8</f>
        <v>-5.4404145077720214</v>
      </c>
      <c r="CB5" s="8">
        <v>40</v>
      </c>
      <c r="CC5" s="9">
        <v>0</v>
      </c>
      <c r="CD5" s="10">
        <v>39.9</v>
      </c>
      <c r="CE5" s="19">
        <f>CC5/$CC$8</f>
        <v>0</v>
      </c>
      <c r="CF5" s="19">
        <f>C16</f>
        <v>0.27202072538860106</v>
      </c>
      <c r="CG5" s="19">
        <f>CE5-CF5</f>
        <v>-0.27202072538860106</v>
      </c>
      <c r="CH5" s="20">
        <f>CF5*$CC$8</f>
        <v>-9.7927461139896383</v>
      </c>
      <c r="CI5" s="8">
        <v>40</v>
      </c>
      <c r="CJ5" s="9">
        <v>3</v>
      </c>
      <c r="CK5" s="10">
        <v>43.4</v>
      </c>
      <c r="CL5" s="19">
        <f>CJ5/$CJ$8</f>
        <v>-0.125</v>
      </c>
      <c r="CM5" s="19">
        <f>C16</f>
        <v>0.27202072538860106</v>
      </c>
      <c r="CN5" s="19">
        <f>CL5-CM5</f>
        <v>-0.39702072538860106</v>
      </c>
      <c r="CO5" s="20">
        <f>CM5*$CJ$8</f>
        <v>-6.528497409326425</v>
      </c>
      <c r="CP5" s="8">
        <v>43</v>
      </c>
      <c r="CQ5" s="9">
        <v>-1</v>
      </c>
      <c r="CR5" s="10">
        <v>42.2</v>
      </c>
      <c r="CS5" s="19">
        <f>CQ5/$CQ$8</f>
        <v>2.564102564102564E-2</v>
      </c>
      <c r="CT5" s="19">
        <f>C16</f>
        <v>0.27202072538860106</v>
      </c>
      <c r="CU5" s="19">
        <f>CS5-CT5</f>
        <v>-0.24637969974757543</v>
      </c>
      <c r="CV5" s="20">
        <f>CT5*$CQ$8</f>
        <v>-10.608808290155441</v>
      </c>
      <c r="CW5" s="8">
        <v>42</v>
      </c>
      <c r="CX5" s="9">
        <v>-6</v>
      </c>
      <c r="CY5" s="10">
        <v>35.700000000000003</v>
      </c>
      <c r="CZ5" s="19">
        <f>CX5/$CX$8</f>
        <v>0.46153846153846156</v>
      </c>
      <c r="DA5" s="19">
        <f>C16</f>
        <v>0.27202072538860106</v>
      </c>
      <c r="DB5" s="19">
        <f>CZ5-DA5</f>
        <v>0.18951773614986051</v>
      </c>
      <c r="DC5" s="20">
        <f>DA5*$CX$8</f>
        <v>-3.5362694300518136</v>
      </c>
      <c r="DD5" s="8">
        <v>36</v>
      </c>
      <c r="DE5" s="9">
        <v>-4</v>
      </c>
      <c r="DF5" s="10">
        <v>32.299999999999997</v>
      </c>
      <c r="DG5" s="19">
        <f>DE5/$DE$8</f>
        <v>0.18181818181818182</v>
      </c>
      <c r="DH5" s="19">
        <f>C16</f>
        <v>0.27202072538860106</v>
      </c>
      <c r="DI5" s="19">
        <f>DG5-DH5</f>
        <v>-9.0202543570419236E-2</v>
      </c>
      <c r="DJ5" s="20">
        <f>DH5*$DE$8</f>
        <v>-5.9844559585492236</v>
      </c>
      <c r="DK5" s="8">
        <v>36</v>
      </c>
      <c r="DL5" s="9">
        <v>-7</v>
      </c>
      <c r="DM5" s="10">
        <v>29.3</v>
      </c>
      <c r="DN5" s="19">
        <f>DL5/$DL$8</f>
        <v>0.41176470588235292</v>
      </c>
      <c r="DO5" s="19">
        <f>C16</f>
        <v>0.27202072538860106</v>
      </c>
      <c r="DP5" s="19">
        <f>DN5-DO5</f>
        <v>0.13974398049375186</v>
      </c>
      <c r="DQ5" s="20">
        <f>DO5*$DL$8</f>
        <v>-4.6243523316062181</v>
      </c>
      <c r="DR5" s="8">
        <v>29</v>
      </c>
      <c r="DS5" s="9">
        <v>-4</v>
      </c>
      <c r="DT5" s="10">
        <v>25.2</v>
      </c>
      <c r="DU5" s="19">
        <f>DS5/$DS$8</f>
        <v>0.30769230769230771</v>
      </c>
      <c r="DV5" s="19">
        <f>C16</f>
        <v>0.27202072538860106</v>
      </c>
      <c r="DW5" s="19">
        <f>DU5-DV5</f>
        <v>3.567158230370665E-2</v>
      </c>
      <c r="DX5" s="20">
        <f>DV5*$DS$8</f>
        <v>-3.5362694300518136</v>
      </c>
      <c r="DY5" s="8">
        <v>25</v>
      </c>
      <c r="DZ5" s="9">
        <v>4</v>
      </c>
      <c r="EA5" s="10">
        <v>28.7</v>
      </c>
      <c r="EB5" s="19">
        <f>DZ5/$DZ$8</f>
        <v>0.30769230769230771</v>
      </c>
      <c r="EC5" s="19">
        <f>C16</f>
        <v>0.27202072538860106</v>
      </c>
      <c r="ED5" s="19">
        <f>EB5-EC5</f>
        <v>3.567158230370665E-2</v>
      </c>
      <c r="EE5" s="20">
        <f>EC5*$DZ$8</f>
        <v>3.5362694300518136</v>
      </c>
      <c r="EF5" s="8">
        <v>29</v>
      </c>
      <c r="EG5" s="9">
        <v>7</v>
      </c>
      <c r="EH5" s="10">
        <v>36.200000000000003</v>
      </c>
      <c r="EI5" s="19">
        <f>EG5/$EG$8</f>
        <v>0.25925925925925924</v>
      </c>
      <c r="EJ5" s="19">
        <f>C16</f>
        <v>0.27202072538860106</v>
      </c>
      <c r="EK5" s="19">
        <f>EI5-EJ5</f>
        <v>-1.2761466129341814E-2</v>
      </c>
      <c r="EL5" s="20">
        <f>EJ5*$EG$8</f>
        <v>7.3445595854922283</v>
      </c>
      <c r="EM5" s="8">
        <v>34</v>
      </c>
      <c r="EN5" s="9">
        <v>1</v>
      </c>
      <c r="EO5" s="10">
        <v>35.1</v>
      </c>
      <c r="EP5" s="19">
        <f>EN5/$EN$8</f>
        <v>8.3333333333333329E-2</v>
      </c>
      <c r="EQ5" s="19">
        <f>C16</f>
        <v>0.27202072538860106</v>
      </c>
      <c r="ER5" s="19">
        <f>EP5-EQ5</f>
        <v>-0.18868739205526774</v>
      </c>
      <c r="ES5" s="20">
        <f>EQ5*$EN$8</f>
        <v>3.2642487046632125</v>
      </c>
    </row>
    <row r="6" spans="1:149">
      <c r="A6" s="11">
        <v>45963</v>
      </c>
      <c r="B6" s="12" t="s">
        <v>18</v>
      </c>
      <c r="C6" s="8">
        <v>2</v>
      </c>
      <c r="D6" s="9">
        <v>0</v>
      </c>
      <c r="E6" s="10">
        <v>4.5</v>
      </c>
      <c r="F6" s="19">
        <f>IF($D$8=0,0,D6/$D$8)</f>
        <v>0</v>
      </c>
      <c r="G6" s="19">
        <f>C13</f>
        <v>0</v>
      </c>
      <c r="H6" s="19">
        <f>F6-G6</f>
        <v>0</v>
      </c>
      <c r="I6" s="20">
        <f>G6*$D$8</f>
        <v>0</v>
      </c>
      <c r="J6" s="8">
        <v>4</v>
      </c>
      <c r="K6" s="9">
        <v>19</v>
      </c>
      <c r="L6" s="10">
        <v>22.9</v>
      </c>
      <c r="M6" s="19">
        <f>IF($K$8=0,0,J6/$K$8)</f>
        <v>9.7560975609756101E-2</v>
      </c>
      <c r="N6" s="19">
        <f>C17</f>
        <v>0.50777202072538863</v>
      </c>
      <c r="O6" s="19">
        <f>M6-N6</f>
        <v>-0.41021104511563256</v>
      </c>
      <c r="P6" s="20">
        <f>N6*$D$8</f>
        <v>0</v>
      </c>
      <c r="Q6" s="8">
        <v>4</v>
      </c>
      <c r="R6" s="9">
        <v>22</v>
      </c>
      <c r="S6" s="10">
        <v>25.8</v>
      </c>
      <c r="T6" s="19">
        <f>R6/$R$8</f>
        <v>1.2222222222222223</v>
      </c>
      <c r="U6" s="19">
        <f>C17</f>
        <v>0.50777202072538863</v>
      </c>
      <c r="V6" s="19">
        <f>T6-U6</f>
        <v>0.71445020149683369</v>
      </c>
      <c r="W6" s="20">
        <f>U6*$R$8</f>
        <v>9.1398963730569953</v>
      </c>
      <c r="X6" s="8">
        <v>4</v>
      </c>
      <c r="Y6" s="9">
        <v>28</v>
      </c>
      <c r="Z6" s="10">
        <v>32</v>
      </c>
      <c r="AA6" s="19">
        <f t="shared" ref="AA6:AA7" si="0">Y6/$Y$8</f>
        <v>0.82352941176470584</v>
      </c>
      <c r="AB6" s="19">
        <f t="shared" ref="AB6:AB7" si="1">C17</f>
        <v>0.50777202072538863</v>
      </c>
      <c r="AC6" s="19">
        <f t="shared" ref="AC6:AC7" si="2">AA6-AB6</f>
        <v>0.31575739103931721</v>
      </c>
      <c r="AD6" s="20">
        <f t="shared" ref="AD6:AD7" si="3">AB6*$Y$8</f>
        <v>17.264248704663213</v>
      </c>
      <c r="AE6" s="8">
        <v>8</v>
      </c>
      <c r="AF6" s="9">
        <v>30</v>
      </c>
      <c r="AG6" s="10">
        <v>37.200000000000003</v>
      </c>
      <c r="AH6" s="19">
        <f>AF6/$AF$8</f>
        <v>0.81081081081081086</v>
      </c>
      <c r="AI6" s="19">
        <f t="shared" ref="AI6:AI7" si="4">C17</f>
        <v>0.50777202072538863</v>
      </c>
      <c r="AJ6" s="19">
        <f t="shared" ref="AJ6:AJ7" si="5">AH6-AI6</f>
        <v>0.30303879008542223</v>
      </c>
      <c r="AK6" s="20">
        <f t="shared" ref="AK6:AK7" si="6">AI6*$AF$8</f>
        <v>18.787564766839381</v>
      </c>
      <c r="AL6" s="8">
        <v>36</v>
      </c>
      <c r="AM6" s="9">
        <v>8</v>
      </c>
      <c r="AN6" s="10">
        <v>44.3</v>
      </c>
      <c r="AO6" s="19">
        <f>AM6/$AM$8</f>
        <v>0.5714285714285714</v>
      </c>
      <c r="AP6" s="19">
        <f>C17</f>
        <v>0.50777202072538863</v>
      </c>
      <c r="AQ6" s="19">
        <f>AO6-AP6</f>
        <v>6.3656550703182768E-2</v>
      </c>
      <c r="AR6" s="20">
        <f t="shared" ref="AR6:AR7" si="7">AP6*$AM$8</f>
        <v>7.1088082901554408</v>
      </c>
      <c r="AS6" s="8">
        <v>43</v>
      </c>
      <c r="AT6" s="9">
        <v>9</v>
      </c>
      <c r="AU6" s="10">
        <v>51.5</v>
      </c>
      <c r="AV6" s="19">
        <f t="shared" ref="AV6:AV7" si="8">AT6/$AT$8</f>
        <v>0.6</v>
      </c>
      <c r="AW6" s="19">
        <f t="shared" ref="AW6:AW7" si="9">C17</f>
        <v>0.50777202072538863</v>
      </c>
      <c r="AX6" s="19">
        <f t="shared" ref="AX6:AX7" si="10">AV6-AW6</f>
        <v>9.2227979274611349E-2</v>
      </c>
      <c r="AY6" s="20">
        <f t="shared" ref="AY6:AY7" si="11">AW6*$AT$8</f>
        <v>7.6165803108808294</v>
      </c>
      <c r="AZ6" s="8">
        <v>43</v>
      </c>
      <c r="BA6" s="9">
        <v>14</v>
      </c>
      <c r="BB6" s="10">
        <v>56.8</v>
      </c>
      <c r="BC6" s="19">
        <f t="shared" ref="BC6:BC7" si="12">BA6/$BA$8</f>
        <v>0.7</v>
      </c>
      <c r="BD6" s="19">
        <f t="shared" ref="BD6:BD7" si="13">C17</f>
        <v>0.50777202072538863</v>
      </c>
      <c r="BE6" s="19">
        <f t="shared" ref="BE6:BE7" si="14">BC6-BD6</f>
        <v>0.19222797927461133</v>
      </c>
      <c r="BF6" s="20">
        <f t="shared" ref="BF6:BF7" si="15">BD6*$BA$8</f>
        <v>10.155440414507773</v>
      </c>
      <c r="BG6" s="8">
        <v>105</v>
      </c>
      <c r="BH6" s="9">
        <v>-30</v>
      </c>
      <c r="BI6" s="10">
        <v>75.099999999999994</v>
      </c>
      <c r="BJ6" s="19">
        <f t="shared" ref="BJ6:BJ7" si="16">BH6/$BH$8</f>
        <v>2.5</v>
      </c>
      <c r="BK6" s="19">
        <f t="shared" ref="BK6:BK7" si="17">C17</f>
        <v>0.50777202072538863</v>
      </c>
      <c r="BL6" s="19">
        <f t="shared" ref="BL6:BL7" si="18">BJ6-BK6</f>
        <v>1.9922279792746114</v>
      </c>
      <c r="BM6" s="20">
        <f t="shared" ref="BM6:BM7" si="19">BK6*$BH$8</f>
        <v>-6.0932642487046635</v>
      </c>
      <c r="BN6" s="8">
        <v>26</v>
      </c>
      <c r="BO6" s="9">
        <v>41</v>
      </c>
      <c r="BP6" s="10">
        <v>66.599999999999994</v>
      </c>
      <c r="BQ6" s="19">
        <f t="shared" ref="BQ6:BQ7" si="20">BO6/$BO$8</f>
        <v>1.2424242424242424</v>
      </c>
      <c r="BR6" s="19">
        <f t="shared" ref="BR6:BR7" si="21">C17</f>
        <v>0.50777202072538863</v>
      </c>
      <c r="BS6" s="19">
        <f t="shared" ref="BS6:BS7" si="22">BQ6-BR6</f>
        <v>0.7346522216988538</v>
      </c>
      <c r="BT6" s="20">
        <f t="shared" ref="BT6:BT7" si="23">BR6*$BO$8</f>
        <v>16.756476683937827</v>
      </c>
      <c r="BU6" s="8">
        <v>97</v>
      </c>
      <c r="BV6" s="9">
        <v>-25</v>
      </c>
      <c r="BW6" s="10">
        <v>72.5</v>
      </c>
      <c r="BX6" s="19">
        <f t="shared" ref="BX6:BX7" si="24">BV6/$BV$8</f>
        <v>1.25</v>
      </c>
      <c r="BY6" s="19">
        <f t="shared" ref="BY6:BY7" si="25">C17</f>
        <v>0.50777202072538863</v>
      </c>
      <c r="BZ6" s="19">
        <f t="shared" ref="BZ6:BZ7" si="26">BX6-BY6</f>
        <v>0.74222797927461137</v>
      </c>
      <c r="CA6" s="20">
        <f t="shared" ref="CA6:CA7" si="27">BY6*$BV$8</f>
        <v>-10.155440414507773</v>
      </c>
      <c r="CB6" s="8">
        <v>107</v>
      </c>
      <c r="CC6" s="9">
        <v>-35</v>
      </c>
      <c r="CD6" s="10">
        <v>72.400000000000006</v>
      </c>
      <c r="CE6" s="19">
        <f t="shared" ref="CE6:CE7" si="28">CC6/$CC$8</f>
        <v>0.97222222222222221</v>
      </c>
      <c r="CF6" s="19">
        <f t="shared" ref="CF6:CF7" si="29">C17</f>
        <v>0.50777202072538863</v>
      </c>
      <c r="CG6" s="19">
        <f t="shared" ref="CG6:CG7" si="30">CE6-CF6</f>
        <v>0.46445020149683358</v>
      </c>
      <c r="CH6" s="20">
        <f t="shared" ref="CH6:CH7" si="31">CF6*$CC$8</f>
        <v>-18.279792746113991</v>
      </c>
      <c r="CI6" s="8">
        <v>108</v>
      </c>
      <c r="CJ6" s="9">
        <v>-29</v>
      </c>
      <c r="CK6" s="10">
        <v>78.599999999999994</v>
      </c>
      <c r="CL6" s="19">
        <f t="shared" ref="CL6:CL7" si="32">CJ6/$CJ$8</f>
        <v>1.2083333333333333</v>
      </c>
      <c r="CM6" s="19">
        <f t="shared" ref="CM6:CM7" si="33">C17</f>
        <v>0.50777202072538863</v>
      </c>
      <c r="CN6" s="19">
        <f t="shared" ref="CN6:CN7" si="34">CL6-CM6</f>
        <v>0.70056131260794463</v>
      </c>
      <c r="CO6" s="20">
        <f t="shared" ref="CO6:CO7" si="35">CM6*$CJ$8</f>
        <v>-12.186528497409327</v>
      </c>
      <c r="CP6" s="8">
        <v>114</v>
      </c>
      <c r="CQ6" s="9">
        <v>-37</v>
      </c>
      <c r="CR6" s="10">
        <v>76.400000000000006</v>
      </c>
      <c r="CS6" s="19">
        <f t="shared" ref="CS6:CS7" si="36">CQ6/$CQ$8</f>
        <v>0.94871794871794868</v>
      </c>
      <c r="CT6" s="19">
        <f t="shared" ref="CT6:CT7" si="37">C17</f>
        <v>0.50777202072538863</v>
      </c>
      <c r="CU6" s="19">
        <f t="shared" ref="CU6:CU7" si="38">CS6-CT6</f>
        <v>0.44094592799256005</v>
      </c>
      <c r="CV6" s="20">
        <f t="shared" ref="CV6:CV7" si="39">CT6*$CQ$8</f>
        <v>-19.803108808290155</v>
      </c>
      <c r="CW6" s="8">
        <v>78</v>
      </c>
      <c r="CX6" s="9">
        <v>-2</v>
      </c>
      <c r="CY6" s="10">
        <v>76.400000000000006</v>
      </c>
      <c r="CZ6" s="19">
        <f t="shared" ref="CZ6:CZ7" si="40">CX6/$CX$8</f>
        <v>0.15384615384615385</v>
      </c>
      <c r="DA6" s="19">
        <f t="shared" ref="DA6:DA7" si="41">C17</f>
        <v>0.50777202072538863</v>
      </c>
      <c r="DB6" s="19">
        <f t="shared" ref="DB6:DB7" si="42">CZ6-DA6</f>
        <v>-0.35392586687923477</v>
      </c>
      <c r="DC6" s="20">
        <f t="shared" ref="DC6:DC7" si="43">DA6*$CX$8</f>
        <v>-6.6010362694300522</v>
      </c>
      <c r="DD6" s="8">
        <v>75</v>
      </c>
      <c r="DE6" s="9">
        <v>-15</v>
      </c>
      <c r="DF6" s="10">
        <v>59.4</v>
      </c>
      <c r="DG6" s="19">
        <f t="shared" ref="DG6:DG7" si="44">DE6/$DE$8</f>
        <v>0.68181818181818177</v>
      </c>
      <c r="DH6" s="19">
        <f t="shared" ref="DH6:DH7" si="45">C17</f>
        <v>0.50777202072538863</v>
      </c>
      <c r="DI6" s="19">
        <f t="shared" ref="DI6:DI7" si="46">DG6-DH6</f>
        <v>0.17404616109279314</v>
      </c>
      <c r="DJ6" s="20">
        <f t="shared" ref="DJ6:DJ7" si="47">DH6*$DE$8</f>
        <v>-11.17098445595855</v>
      </c>
      <c r="DK6" s="8">
        <v>58</v>
      </c>
      <c r="DL6" s="9">
        <v>-5</v>
      </c>
      <c r="DM6" s="10">
        <v>53.1</v>
      </c>
      <c r="DN6" s="19">
        <f t="shared" ref="DN6:DN7" si="48">DL6/$DL$8</f>
        <v>0.29411764705882354</v>
      </c>
      <c r="DO6" s="19">
        <f t="shared" ref="DO6:DO7" si="49">C17</f>
        <v>0.50777202072538863</v>
      </c>
      <c r="DP6" s="19">
        <f t="shared" ref="DP6:DP7" si="50">DN6-DO6</f>
        <v>-0.21365437366656509</v>
      </c>
      <c r="DQ6" s="20">
        <f t="shared" ref="DQ6:DQ7" si="51">DO6*$DL$8</f>
        <v>-8.6321243523316067</v>
      </c>
      <c r="DR6" s="8">
        <v>52</v>
      </c>
      <c r="DS6" s="9">
        <v>-6</v>
      </c>
      <c r="DT6" s="10">
        <v>45.6</v>
      </c>
      <c r="DU6" s="19">
        <f t="shared" ref="DU6:DU7" si="52">DS6/$DS$8</f>
        <v>0.46153846153846156</v>
      </c>
      <c r="DV6" s="19">
        <f t="shared" ref="DV6:DV7" si="53">C17</f>
        <v>0.50777202072538863</v>
      </c>
      <c r="DW6" s="19">
        <f t="shared" ref="DW6:DW7" si="54">DU6-DV6</f>
        <v>-4.6233559186927065E-2</v>
      </c>
      <c r="DX6" s="20">
        <f t="shared" ref="DX6:DX7" si="55">DV6*$DS$8</f>
        <v>-6.6010362694300522</v>
      </c>
      <c r="DY6" s="8">
        <v>45</v>
      </c>
      <c r="DZ6" s="9">
        <v>7</v>
      </c>
      <c r="EA6" s="10">
        <v>52</v>
      </c>
      <c r="EB6" s="19">
        <f t="shared" ref="EB6:EB7" si="56">DZ6/$DZ$8</f>
        <v>0.53846153846153844</v>
      </c>
      <c r="EC6" s="19">
        <f t="shared" ref="EC6:EC7" si="57">C17</f>
        <v>0.50777202072538863</v>
      </c>
      <c r="ED6" s="19">
        <f t="shared" ref="ED6:ED7" si="58">EB6-EC6</f>
        <v>3.0689517736149807E-2</v>
      </c>
      <c r="EE6" s="20">
        <f t="shared" ref="EE6:EE7" si="59">EC6*$DZ$8</f>
        <v>6.6010362694300522</v>
      </c>
      <c r="EF6" s="8">
        <v>45</v>
      </c>
      <c r="EG6" s="9">
        <v>12</v>
      </c>
      <c r="EH6" s="10">
        <v>57.2</v>
      </c>
      <c r="EI6" s="19">
        <f t="shared" ref="EI6:EI7" si="60">EG6/$EG$8</f>
        <v>0.44444444444444442</v>
      </c>
      <c r="EJ6" s="19">
        <f t="shared" ref="EJ6:EJ7" si="61">C17</f>
        <v>0.50777202072538863</v>
      </c>
      <c r="EK6" s="19">
        <f t="shared" ref="EK6:EK7" si="62">EI6-EJ6</f>
        <v>-6.3327576280944209E-2</v>
      </c>
      <c r="EL6" s="20">
        <f t="shared" ref="EL6:EL7" si="63">EJ6*$EG$8</f>
        <v>13.709844559585493</v>
      </c>
      <c r="EM6" s="8">
        <v>11</v>
      </c>
      <c r="EN6" s="9">
        <v>7</v>
      </c>
      <c r="EO6" s="10">
        <v>18.3</v>
      </c>
      <c r="EP6" s="19">
        <f t="shared" ref="EP6:EP7" si="64">EN6/$EN$8</f>
        <v>0.58333333333333337</v>
      </c>
      <c r="EQ6" s="19">
        <f t="shared" ref="EQ6:EQ7" si="65">C17</f>
        <v>0.50777202072538863</v>
      </c>
      <c r="ER6" s="19">
        <f t="shared" ref="ER6:ER7" si="66">EP6-EQ6</f>
        <v>7.5561312607944742E-2</v>
      </c>
      <c r="ES6" s="20">
        <f t="shared" ref="ES6:ES7" si="67">EQ6*$EN$8</f>
        <v>6.0932642487046635</v>
      </c>
    </row>
    <row r="7" spans="1:149">
      <c r="A7" s="6">
        <v>45963</v>
      </c>
      <c r="B7" s="7" t="s">
        <v>19</v>
      </c>
      <c r="C7" s="8">
        <v>7</v>
      </c>
      <c r="D7" s="9">
        <v>0</v>
      </c>
      <c r="E7" s="10">
        <v>7.2</v>
      </c>
      <c r="F7" s="19">
        <f>IF($D$8=0,0,D7/$D$8)</f>
        <v>0</v>
      </c>
      <c r="G7" s="19">
        <f>C14</f>
        <v>0</v>
      </c>
      <c r="H7" s="19">
        <f>F7-G7</f>
        <v>0</v>
      </c>
      <c r="I7" s="20">
        <f>G7*$D$8</f>
        <v>0</v>
      </c>
      <c r="J7" s="8">
        <v>7</v>
      </c>
      <c r="K7" s="9">
        <v>10</v>
      </c>
      <c r="L7" s="10">
        <v>17.399999999999999</v>
      </c>
      <c r="M7" s="19">
        <f>IF($K$8=0,0,J7/$K$8)</f>
        <v>0.17073170731707318</v>
      </c>
      <c r="N7" s="19">
        <f>C18</f>
        <v>0.22020725388601037</v>
      </c>
      <c r="O7" s="19">
        <f>M7-N7</f>
        <v>-4.9475546568937184E-2</v>
      </c>
      <c r="P7" s="20">
        <f>N7*$D$8</f>
        <v>0</v>
      </c>
      <c r="Q7" s="8">
        <v>7</v>
      </c>
      <c r="R7" s="9">
        <v>4</v>
      </c>
      <c r="S7" s="10">
        <v>11.4</v>
      </c>
      <c r="T7" s="19">
        <f>R7/$R$8</f>
        <v>0.22222222222222221</v>
      </c>
      <c r="U7" s="19">
        <f>C18</f>
        <v>0.22020725388601037</v>
      </c>
      <c r="V7" s="19">
        <f>T7-U7</f>
        <v>2.014968336211842E-3</v>
      </c>
      <c r="W7" s="20">
        <f>U7*$R$8</f>
        <v>3.9637305699481864</v>
      </c>
      <c r="X7" s="8">
        <v>11</v>
      </c>
      <c r="Y7" s="9">
        <v>3</v>
      </c>
      <c r="Z7" s="10">
        <v>13.9</v>
      </c>
      <c r="AA7" s="19">
        <f t="shared" si="0"/>
        <v>8.8235294117647065E-2</v>
      </c>
      <c r="AB7" s="19">
        <f t="shared" si="1"/>
        <v>0.22020725388601037</v>
      </c>
      <c r="AC7" s="19">
        <f t="shared" si="2"/>
        <v>-0.13197195976836329</v>
      </c>
      <c r="AD7" s="20">
        <f t="shared" si="3"/>
        <v>7.4870466321243523</v>
      </c>
      <c r="AE7" s="8">
        <v>11</v>
      </c>
      <c r="AF7" s="9">
        <v>5</v>
      </c>
      <c r="AG7" s="10">
        <v>16.100000000000001</v>
      </c>
      <c r="AH7" s="19">
        <f>AF7/$AF$8</f>
        <v>0.13513513513513514</v>
      </c>
      <c r="AI7" s="19">
        <f t="shared" si="4"/>
        <v>0.22020725388601037</v>
      </c>
      <c r="AJ7" s="19">
        <f t="shared" si="5"/>
        <v>-8.5072118750875225E-2</v>
      </c>
      <c r="AK7" s="20">
        <f t="shared" si="6"/>
        <v>8.1476683937823839</v>
      </c>
      <c r="AL7" s="8">
        <v>16</v>
      </c>
      <c r="AM7" s="9">
        <v>3</v>
      </c>
      <c r="AN7" s="10">
        <v>19.2</v>
      </c>
      <c r="AO7" s="19">
        <f>AM7/$AM$8</f>
        <v>0.21428571428571427</v>
      </c>
      <c r="AP7" s="19">
        <f>C18</f>
        <v>0.22020725388601037</v>
      </c>
      <c r="AQ7" s="19">
        <f>AO7-AP7</f>
        <v>-5.9215396002960941E-3</v>
      </c>
      <c r="AR7" s="20">
        <f t="shared" si="7"/>
        <v>3.0829015544041454</v>
      </c>
      <c r="AS7" s="8">
        <v>19</v>
      </c>
      <c r="AT7" s="9">
        <v>3</v>
      </c>
      <c r="AU7" s="10">
        <v>22.3</v>
      </c>
      <c r="AV7" s="19">
        <f t="shared" si="8"/>
        <v>0.2</v>
      </c>
      <c r="AW7" s="19">
        <f t="shared" si="9"/>
        <v>0.22020725388601037</v>
      </c>
      <c r="AX7" s="19">
        <f t="shared" si="10"/>
        <v>-2.0207253886010357E-2</v>
      </c>
      <c r="AY7" s="20">
        <f t="shared" si="11"/>
        <v>3.3031088082901556</v>
      </c>
      <c r="AZ7" s="8">
        <v>22</v>
      </c>
      <c r="BA7" s="9">
        <v>3</v>
      </c>
      <c r="BB7" s="10">
        <v>24.6</v>
      </c>
      <c r="BC7" s="19">
        <f t="shared" si="12"/>
        <v>0.15</v>
      </c>
      <c r="BD7" s="19">
        <f t="shared" si="13"/>
        <v>0.22020725388601037</v>
      </c>
      <c r="BE7" s="19">
        <f t="shared" si="14"/>
        <v>-7.0207253886010373E-2</v>
      </c>
      <c r="BF7" s="20">
        <f t="shared" si="15"/>
        <v>4.4041450777202069</v>
      </c>
      <c r="BG7" s="8">
        <v>25</v>
      </c>
      <c r="BH7" s="9">
        <v>8</v>
      </c>
      <c r="BI7" s="10">
        <v>32.6</v>
      </c>
      <c r="BJ7" s="19">
        <f t="shared" si="16"/>
        <v>-0.66666666666666663</v>
      </c>
      <c r="BK7" s="19">
        <f t="shared" si="17"/>
        <v>0.22020725388601037</v>
      </c>
      <c r="BL7" s="19">
        <f t="shared" si="18"/>
        <v>-0.886873920552677</v>
      </c>
      <c r="BM7" s="20">
        <f t="shared" si="19"/>
        <v>-2.6424870466321244</v>
      </c>
      <c r="BN7" s="8">
        <v>33</v>
      </c>
      <c r="BO7" s="9">
        <v>-4</v>
      </c>
      <c r="BP7" s="10">
        <v>28.9</v>
      </c>
      <c r="BQ7" s="19">
        <f t="shared" si="20"/>
        <v>-0.12121212121212122</v>
      </c>
      <c r="BR7" s="19">
        <f t="shared" si="21"/>
        <v>0.22020725388601037</v>
      </c>
      <c r="BS7" s="19">
        <f t="shared" si="22"/>
        <v>-0.34141937509813158</v>
      </c>
      <c r="BT7" s="20">
        <f t="shared" si="23"/>
        <v>7.266839378238342</v>
      </c>
      <c r="BU7" s="8">
        <v>29</v>
      </c>
      <c r="BV7" s="9">
        <v>2</v>
      </c>
      <c r="BW7" s="10">
        <v>31.5</v>
      </c>
      <c r="BX7" s="19">
        <f t="shared" si="24"/>
        <v>-0.1</v>
      </c>
      <c r="BY7" s="19">
        <f t="shared" si="25"/>
        <v>0.22020725388601037</v>
      </c>
      <c r="BZ7" s="19">
        <f t="shared" si="26"/>
        <v>-0.32020725388601035</v>
      </c>
      <c r="CA7" s="20">
        <f t="shared" si="27"/>
        <v>-4.4041450777202069</v>
      </c>
      <c r="CB7" s="8">
        <v>32</v>
      </c>
      <c r="CC7" s="9">
        <v>-1</v>
      </c>
      <c r="CD7" s="10">
        <v>31.4</v>
      </c>
      <c r="CE7" s="19">
        <f t="shared" si="28"/>
        <v>2.7777777777777776E-2</v>
      </c>
      <c r="CF7" s="19">
        <f t="shared" si="29"/>
        <v>0.22020725388601037</v>
      </c>
      <c r="CG7" s="19">
        <f t="shared" si="30"/>
        <v>-0.19242947610823258</v>
      </c>
      <c r="CH7" s="20">
        <f t="shared" si="31"/>
        <v>-7.9274611398963728</v>
      </c>
      <c r="CI7" s="8">
        <v>32</v>
      </c>
      <c r="CJ7" s="9">
        <v>2</v>
      </c>
      <c r="CK7" s="10">
        <v>34.1</v>
      </c>
      <c r="CL7" s="19">
        <f t="shared" si="32"/>
        <v>-8.3333333333333329E-2</v>
      </c>
      <c r="CM7" s="19">
        <f t="shared" si="33"/>
        <v>0.22020725388601037</v>
      </c>
      <c r="CN7" s="19">
        <f t="shared" si="34"/>
        <v>-0.30354058721934368</v>
      </c>
      <c r="CO7" s="20">
        <f t="shared" si="35"/>
        <v>-5.2849740932642488</v>
      </c>
      <c r="CP7" s="8">
        <v>34</v>
      </c>
      <c r="CQ7" s="9">
        <v>-1</v>
      </c>
      <c r="CR7" s="10">
        <v>33.200000000000003</v>
      </c>
      <c r="CS7" s="19">
        <f t="shared" si="36"/>
        <v>2.564102564102564E-2</v>
      </c>
      <c r="CT7" s="19">
        <f t="shared" si="37"/>
        <v>0.22020725388601037</v>
      </c>
      <c r="CU7" s="19">
        <f t="shared" si="38"/>
        <v>-0.19456622824498473</v>
      </c>
      <c r="CV7" s="20">
        <f t="shared" si="39"/>
        <v>-8.5880829015544045</v>
      </c>
      <c r="CW7" s="8">
        <v>33</v>
      </c>
      <c r="CX7" s="9">
        <v>-5</v>
      </c>
      <c r="CY7" s="10">
        <v>28.1</v>
      </c>
      <c r="CZ7" s="19">
        <f t="shared" si="40"/>
        <v>0.38461538461538464</v>
      </c>
      <c r="DA7" s="19">
        <f t="shared" si="41"/>
        <v>0.22020725388601037</v>
      </c>
      <c r="DB7" s="19">
        <f t="shared" si="42"/>
        <v>0.16440813072937427</v>
      </c>
      <c r="DC7" s="20">
        <f t="shared" si="43"/>
        <v>-2.8626943005181347</v>
      </c>
      <c r="DD7" s="8">
        <v>28</v>
      </c>
      <c r="DE7" s="9">
        <v>-3</v>
      </c>
      <c r="DF7" s="10">
        <v>25.4</v>
      </c>
      <c r="DG7" s="19">
        <f t="shared" si="44"/>
        <v>0.13636363636363635</v>
      </c>
      <c r="DH7" s="19">
        <f t="shared" si="45"/>
        <v>0.22020725388601037</v>
      </c>
      <c r="DI7" s="19">
        <f t="shared" si="46"/>
        <v>-8.3843617522374014E-2</v>
      </c>
      <c r="DJ7" s="20">
        <f t="shared" si="47"/>
        <v>-4.8445595854922283</v>
      </c>
      <c r="DK7" s="8">
        <v>28</v>
      </c>
      <c r="DL7" s="9">
        <v>-5</v>
      </c>
      <c r="DM7" s="10">
        <v>23</v>
      </c>
      <c r="DN7" s="19">
        <f t="shared" si="48"/>
        <v>0.29411764705882354</v>
      </c>
      <c r="DO7" s="19">
        <f t="shared" si="49"/>
        <v>0.22020725388601037</v>
      </c>
      <c r="DP7" s="19">
        <f t="shared" si="50"/>
        <v>7.3910393172813171E-2</v>
      </c>
      <c r="DQ7" s="20">
        <f t="shared" si="51"/>
        <v>-3.7435233160621761</v>
      </c>
      <c r="DR7" s="8">
        <v>23</v>
      </c>
      <c r="DS7" s="9">
        <v>-3</v>
      </c>
      <c r="DT7" s="10">
        <v>19.8</v>
      </c>
      <c r="DU7" s="19">
        <f t="shared" si="52"/>
        <v>0.23076923076923078</v>
      </c>
      <c r="DV7" s="19">
        <f t="shared" si="53"/>
        <v>0.22020725388601037</v>
      </c>
      <c r="DW7" s="19">
        <f t="shared" si="54"/>
        <v>1.0561976883220414E-2</v>
      </c>
      <c r="DX7" s="20">
        <f t="shared" si="55"/>
        <v>-2.8626943005181347</v>
      </c>
      <c r="DY7" s="8">
        <v>20</v>
      </c>
      <c r="DZ7" s="9">
        <v>2</v>
      </c>
      <c r="EA7" s="10">
        <v>22.5</v>
      </c>
      <c r="EB7" s="19">
        <f t="shared" si="56"/>
        <v>0.15384615384615385</v>
      </c>
      <c r="EC7" s="19">
        <f t="shared" si="57"/>
        <v>0.22020725388601037</v>
      </c>
      <c r="ED7" s="19">
        <f t="shared" si="58"/>
        <v>-6.6361100039856513E-2</v>
      </c>
      <c r="EE7" s="20">
        <f t="shared" si="59"/>
        <v>2.8626943005181347</v>
      </c>
      <c r="EF7" s="8">
        <v>20</v>
      </c>
      <c r="EG7" s="9">
        <v>8</v>
      </c>
      <c r="EH7" s="10">
        <v>28.5</v>
      </c>
      <c r="EI7" s="19">
        <f t="shared" si="60"/>
        <v>0.29629629629629628</v>
      </c>
      <c r="EJ7" s="19">
        <f t="shared" si="61"/>
        <v>0.22020725388601037</v>
      </c>
      <c r="EK7" s="19">
        <f t="shared" si="62"/>
        <v>7.6089042410285912E-2</v>
      </c>
      <c r="EL7" s="20">
        <f t="shared" si="63"/>
        <v>5.9455958549222796</v>
      </c>
      <c r="EM7" s="8">
        <v>25</v>
      </c>
      <c r="EN7" s="9">
        <v>4</v>
      </c>
      <c r="EO7" s="10">
        <v>29.2</v>
      </c>
      <c r="EP7" s="19">
        <f t="shared" si="64"/>
        <v>0.33333333333333331</v>
      </c>
      <c r="EQ7" s="19">
        <f t="shared" si="65"/>
        <v>0.22020725388601037</v>
      </c>
      <c r="ER7" s="19">
        <f t="shared" si="66"/>
        <v>0.11312607944732295</v>
      </c>
      <c r="ES7" s="20">
        <f t="shared" si="67"/>
        <v>2.6424870466321244</v>
      </c>
    </row>
    <row r="8" spans="1:149">
      <c r="D8" s="21">
        <f>SUM(D5:D7)</f>
        <v>0</v>
      </c>
      <c r="K8" s="21">
        <f>SUM(K5:K7)</f>
        <v>41</v>
      </c>
      <c r="R8" s="41">
        <f>SUM(R5:R7)</f>
        <v>18</v>
      </c>
      <c r="X8" s="33"/>
      <c r="Y8" s="33">
        <f>SUM(Y5:Y7)</f>
        <v>34</v>
      </c>
      <c r="Z8" s="33"/>
      <c r="AA8" s="33"/>
      <c r="AB8" s="33"/>
      <c r="AC8" s="33"/>
      <c r="AD8" s="21">
        <f>SUM(AD5:AD7)</f>
        <v>34</v>
      </c>
      <c r="AE8" s="33"/>
      <c r="AF8" s="33">
        <f>SUM(AF5:AF7)</f>
        <v>37</v>
      </c>
      <c r="AG8" s="33"/>
      <c r="AH8" s="33"/>
      <c r="AI8" s="33"/>
      <c r="AJ8" s="33"/>
      <c r="AK8" s="21">
        <f>SUM(AK5:AK7)</f>
        <v>37</v>
      </c>
      <c r="AL8" s="33"/>
      <c r="AM8" s="33">
        <f>SUM(AM5:AM7)</f>
        <v>14</v>
      </c>
      <c r="AN8" s="33"/>
      <c r="AO8" s="33"/>
      <c r="AP8" s="33"/>
      <c r="AQ8" s="33"/>
      <c r="AR8" s="33">
        <f>SUM(AR5:AR7)</f>
        <v>14</v>
      </c>
      <c r="AS8" s="33"/>
      <c r="AT8" s="33">
        <f>SUM(AT5:AT7)</f>
        <v>15</v>
      </c>
      <c r="AU8" s="33"/>
      <c r="AV8" s="33"/>
      <c r="AW8" s="33"/>
      <c r="AX8" s="33"/>
      <c r="AY8" s="33">
        <f>SUM(AY5:AY7)</f>
        <v>15</v>
      </c>
      <c r="AZ8" s="33"/>
      <c r="BA8" s="33">
        <f>SUM(BA5:BA7)</f>
        <v>20</v>
      </c>
      <c r="BB8" s="33"/>
      <c r="BC8" s="33"/>
      <c r="BD8" s="33"/>
      <c r="BE8" s="33"/>
      <c r="BF8" s="33">
        <f>SUM(BF5:BF7)</f>
        <v>20</v>
      </c>
      <c r="BG8" s="33"/>
      <c r="BH8" s="33">
        <f>SUM(BH5:BH7)</f>
        <v>-12</v>
      </c>
      <c r="BI8" s="33"/>
      <c r="BJ8" s="33"/>
      <c r="BK8" s="33"/>
      <c r="BL8" s="33"/>
      <c r="BM8" s="33">
        <f>SUM(BM5:BM7)</f>
        <v>-12.000000000000002</v>
      </c>
      <c r="BN8" s="33"/>
      <c r="BO8" s="33">
        <f>SUM(BO5:BO7)</f>
        <v>33</v>
      </c>
      <c r="BP8" s="33"/>
      <c r="BQ8" s="33"/>
      <c r="BR8" s="33"/>
      <c r="BS8" s="33"/>
      <c r="BT8" s="33">
        <f>SUM(BT5:BT7)</f>
        <v>33.000000000000007</v>
      </c>
      <c r="BU8" s="33"/>
      <c r="BV8" s="33">
        <f>SUM(BV5:BV7)</f>
        <v>-20</v>
      </c>
      <c r="BW8" s="33"/>
      <c r="BX8" s="33"/>
      <c r="BY8" s="33"/>
      <c r="BZ8" s="33"/>
      <c r="CA8" s="33">
        <f>SUM(CA5:CA7)</f>
        <v>-20</v>
      </c>
      <c r="CB8" s="33"/>
      <c r="CC8" s="33">
        <f>SUM(CC5:CC7)</f>
        <v>-36</v>
      </c>
      <c r="CD8" s="33"/>
      <c r="CE8" s="33"/>
      <c r="CF8" s="33"/>
      <c r="CG8" s="33"/>
      <c r="CH8" s="33">
        <f>SUM(CH5:CH7)</f>
        <v>-36</v>
      </c>
      <c r="CI8" s="33"/>
      <c r="CJ8" s="33">
        <f>SUM(CJ5:CJ7)</f>
        <v>-24</v>
      </c>
      <c r="CK8" s="33"/>
      <c r="CL8" s="33"/>
      <c r="CM8" s="33"/>
      <c r="CN8" s="33"/>
      <c r="CO8" s="33">
        <f>SUM(CO5:CO7)</f>
        <v>-24.000000000000004</v>
      </c>
      <c r="CP8" s="33"/>
      <c r="CQ8" s="33">
        <f>SUM(CQ5:CQ7)</f>
        <v>-39</v>
      </c>
      <c r="CR8" s="33"/>
      <c r="CS8" s="33"/>
      <c r="CT8" s="33"/>
      <c r="CU8" s="33"/>
      <c r="CV8" s="33">
        <f>SUM(CV5:CV7)</f>
        <v>-39</v>
      </c>
      <c r="CW8" s="33"/>
      <c r="CX8" s="33">
        <f>SUM(CX5:CX7)</f>
        <v>-13</v>
      </c>
      <c r="CY8" s="33"/>
      <c r="CZ8" s="33"/>
      <c r="DA8" s="33"/>
      <c r="DB8" s="33"/>
      <c r="DC8" s="33">
        <f>SUM(DC5:DC7)</f>
        <v>-13</v>
      </c>
      <c r="DD8" s="33"/>
      <c r="DE8" s="33">
        <f>SUM(DE5:DE7)</f>
        <v>-22</v>
      </c>
      <c r="DF8" s="33"/>
      <c r="DG8" s="33"/>
      <c r="DH8" s="33"/>
      <c r="DI8" s="33"/>
      <c r="DJ8" s="33">
        <f>SUM(DJ5:DJ7)</f>
        <v>-22</v>
      </c>
      <c r="DK8" s="33"/>
      <c r="DL8" s="33">
        <f>SUM(DL5:DL7)</f>
        <v>-17</v>
      </c>
      <c r="DM8" s="33"/>
      <c r="DN8" s="33"/>
      <c r="DO8" s="33"/>
      <c r="DP8" s="33"/>
      <c r="DQ8" s="33">
        <f>SUM(DQ5:DQ7)</f>
        <v>-17</v>
      </c>
      <c r="DR8" s="33"/>
      <c r="DS8" s="33">
        <f>SUM(DS5:DS7)</f>
        <v>-13</v>
      </c>
      <c r="DT8" s="33"/>
      <c r="DU8" s="33"/>
      <c r="DV8" s="33"/>
      <c r="DW8" s="33"/>
      <c r="DX8" s="33">
        <f>SUM(DX5:DX7)</f>
        <v>-13</v>
      </c>
      <c r="DY8" s="33"/>
      <c r="DZ8" s="33">
        <f>SUM(DZ5:DZ7)</f>
        <v>13</v>
      </c>
      <c r="EA8" s="33"/>
      <c r="EB8" s="33"/>
      <c r="EC8" s="33"/>
      <c r="ED8" s="33"/>
      <c r="EE8" s="33">
        <f>SUM(EE5:EE7)</f>
        <v>13</v>
      </c>
      <c r="EF8" s="33"/>
      <c r="EG8" s="33">
        <f>SUM(EG5:EG7)</f>
        <v>27</v>
      </c>
      <c r="EH8" s="33"/>
      <c r="EI8" s="33"/>
      <c r="EJ8" s="33"/>
      <c r="EK8" s="33"/>
      <c r="EL8" s="33">
        <f>SUM(EL5:EL7)</f>
        <v>27</v>
      </c>
      <c r="EM8" s="33"/>
      <c r="EN8" s="33">
        <f>SUM(EN5:EN7)</f>
        <v>12</v>
      </c>
      <c r="EO8" s="33"/>
      <c r="EP8" s="33"/>
      <c r="EQ8" s="33"/>
      <c r="ER8" s="33"/>
      <c r="ES8" s="33">
        <f>SUM(ES5:ES7)</f>
        <v>12.000000000000002</v>
      </c>
    </row>
    <row r="10" spans="1:149">
      <c r="A10" s="50" t="s">
        <v>20</v>
      </c>
      <c r="B10" s="50"/>
      <c r="I10" s="38">
        <f>I5-D5</f>
        <v>0</v>
      </c>
      <c r="P10" s="38">
        <f>P5-K5</f>
        <v>-0.84715025906735697</v>
      </c>
      <c r="W10" s="38">
        <f t="shared" ref="W10" si="68">W5-R5</f>
        <v>12.896373056994818</v>
      </c>
      <c r="AD10" s="38">
        <f t="shared" ref="AD10" si="69">AD5-Y5</f>
        <v>6.2487046632124361</v>
      </c>
      <c r="AK10" s="38">
        <f t="shared" ref="AK10" si="70">AK5-AF5</f>
        <v>8.0647668393782386</v>
      </c>
      <c r="AR10" s="38">
        <f t="shared" ref="AR10" si="71">AR5-AM5</f>
        <v>0.80829015544041471</v>
      </c>
      <c r="AY10" s="38">
        <f t="shared" ref="AY10" si="72">AY5-AT5</f>
        <v>1.0803108808290158</v>
      </c>
      <c r="BF10" s="38">
        <f t="shared" ref="BF10" si="73">BF5-BA5</f>
        <v>2.4404145077720214</v>
      </c>
      <c r="BM10" s="38">
        <f t="shared" ref="BM10" si="74">BM5-BH5</f>
        <v>-13.264248704663213</v>
      </c>
      <c r="BT10" s="38">
        <f t="shared" ref="BT10" si="75">BT5-BO5</f>
        <v>12.976683937823834</v>
      </c>
      <c r="CA10" s="38">
        <f t="shared" ref="CA10" si="76">CA5-BV5</f>
        <v>-8.4404145077720223</v>
      </c>
      <c r="CH10" s="38">
        <f t="shared" ref="CH10" si="77">CH5-CC5</f>
        <v>-9.7927461139896383</v>
      </c>
      <c r="CO10" s="38">
        <f t="shared" ref="CO10" si="78">CO5-CJ5</f>
        <v>-9.528497409326425</v>
      </c>
      <c r="CV10" s="38">
        <f t="shared" ref="CV10" si="79">CV5-CQ5</f>
        <v>-9.6088082901554408</v>
      </c>
      <c r="DC10" s="38">
        <f t="shared" ref="DC10" si="80">DC5-CX5</f>
        <v>2.4637305699481864</v>
      </c>
      <c r="DJ10" s="38">
        <f t="shared" ref="DJ10" si="81">DJ5-DE5</f>
        <v>-1.9844559585492236</v>
      </c>
      <c r="DQ10" s="38">
        <f t="shared" ref="DQ10" si="82">DQ5-DL5</f>
        <v>2.3756476683937819</v>
      </c>
      <c r="DX10" s="38">
        <f t="shared" ref="DX10" si="83">DX5-DS5</f>
        <v>0.4637305699481864</v>
      </c>
      <c r="EE10" s="38">
        <f t="shared" ref="EE10" si="84">EE5-DZ5</f>
        <v>-0.4637305699481864</v>
      </c>
      <c r="EL10" s="38">
        <f t="shared" ref="EL10" si="85">EL5-EG5</f>
        <v>0.34455958549222832</v>
      </c>
      <c r="ES10" s="38">
        <f t="shared" ref="ES10" si="86">ES5-EN5</f>
        <v>2.2642487046632125</v>
      </c>
    </row>
    <row r="11" spans="1:149">
      <c r="A11" s="50" t="s">
        <v>21</v>
      </c>
      <c r="B11" s="50"/>
      <c r="I11" s="39">
        <f>J3-C3</f>
        <v>1.5277777777777779E-2</v>
      </c>
      <c r="P11" s="39">
        <f>Q3-J3</f>
        <v>2.7777777777777679E-3</v>
      </c>
      <c r="W11" s="39">
        <f t="shared" ref="W11" si="87">X3-Q3</f>
        <v>2.0138888888888873E-2</v>
      </c>
      <c r="AD11" s="39">
        <f t="shared" ref="AD11" si="88">AE3-X3</f>
        <v>1.5277777777777779E-2</v>
      </c>
      <c r="AK11" s="39">
        <f t="shared" ref="AK11" si="89">AL3-AE3</f>
        <v>2.8472222222222232E-2</v>
      </c>
      <c r="AR11" s="39">
        <f t="shared" ref="AR11" si="90">AS3-AL3</f>
        <v>1.8055555555555547E-2</v>
      </c>
      <c r="AY11" s="39">
        <f t="shared" ref="AY11" si="91">AZ3-AS3</f>
        <v>4.3055555555555569E-2</v>
      </c>
      <c r="BF11" s="39">
        <f t="shared" ref="BF11" si="92">BG3-AZ3</f>
        <v>1.5277777777777779E-2</v>
      </c>
      <c r="BM11" s="39">
        <f t="shared" ref="BM11" si="93">BN3-BG3</f>
        <v>2.7083333333333293E-2</v>
      </c>
      <c r="BT11" s="39">
        <f t="shared" ref="BT11" si="94">BU3-BN3</f>
        <v>2.7083333333333404E-2</v>
      </c>
      <c r="CA11" s="39">
        <f t="shared" ref="CA11" si="95">CB3-BU3</f>
        <v>4.1666666666666519E-3</v>
      </c>
      <c r="CH11" s="39">
        <f t="shared" ref="CH11" si="96">CI3-CB3</f>
        <v>3.3333333333333326E-2</v>
      </c>
      <c r="CO11" s="39">
        <f t="shared" ref="CO11" si="97">CP3-CI3</f>
        <v>0.11458333333333326</v>
      </c>
      <c r="CV11" s="39">
        <f t="shared" ref="CV11" si="98">CW3-CP3</f>
        <v>2.6388888888888906E-2</v>
      </c>
      <c r="DC11" s="39">
        <f t="shared" ref="DC11" si="99">DD3-CW3</f>
        <v>6.9444444444445308E-3</v>
      </c>
      <c r="DJ11" s="39">
        <f t="shared" ref="DJ11" si="100">DK3-DD3</f>
        <v>2.9861111111111005E-2</v>
      </c>
      <c r="DQ11" s="39">
        <f t="shared" ref="DQ11" si="101">DR3-DK3</f>
        <v>2.430555555555558E-2</v>
      </c>
      <c r="DX11" s="39">
        <f t="shared" ref="DX11" si="102">DY3-DR3</f>
        <v>4.1666666666666519E-3</v>
      </c>
      <c r="EE11" s="39">
        <f t="shared" ref="EE11" si="103">EF3-DY3</f>
        <v>3.3333333333333326E-2</v>
      </c>
      <c r="EL11" s="39">
        <f>EM3-EF3</f>
        <v>2.7777777777778789E-3</v>
      </c>
      <c r="ES11" s="39">
        <f>ET3-ES3</f>
        <v>0</v>
      </c>
    </row>
    <row r="12" spans="1:149">
      <c r="A12" s="36" t="s">
        <v>1</v>
      </c>
      <c r="B12" s="36">
        <f>SUM(C12:EW12)</f>
        <v>-1.7181413116484315E-2</v>
      </c>
      <c r="I12" s="40">
        <f>(I10*I11)/60</f>
        <v>0</v>
      </c>
      <c r="P12" s="40">
        <f>(P10*P11)/60</f>
        <v>-3.9219919401266381E-5</v>
      </c>
      <c r="W12" s="40">
        <f t="shared" ref="W12" si="104">(W10*W11)/60</f>
        <v>4.3286437344079798E-3</v>
      </c>
      <c r="AD12" s="40">
        <f t="shared" ref="AD12" si="105">(AD10*AD11)/60</f>
        <v>1.5911053540587222E-3</v>
      </c>
      <c r="AK12" s="40">
        <f t="shared" ref="AK12" si="106">(AK10*AK11)/60</f>
        <v>3.8270305603531007E-3</v>
      </c>
      <c r="AR12" s="40">
        <f t="shared" ref="AR12" si="107">(AR10*AR11)/60</f>
        <v>2.4323546344271729E-4</v>
      </c>
      <c r="AY12" s="40">
        <f t="shared" ref="AY12" si="108">(AY10*AY11)/60</f>
        <v>7.7522308578008108E-4</v>
      </c>
      <c r="BF12" s="40">
        <f t="shared" ref="BF12" si="109">(BF10*BF11)/60</f>
        <v>6.2140184225676482E-4</v>
      </c>
      <c r="BM12" s="40">
        <f t="shared" ref="BM12" si="110">(BM10*BM11)/60</f>
        <v>-5.9873344847438019E-3</v>
      </c>
      <c r="BT12" s="40">
        <f t="shared" ref="BT12" si="111">(BT10*BT11)/60</f>
        <v>5.8575309441566076E-3</v>
      </c>
      <c r="CA12" s="40">
        <f t="shared" ref="CA12" si="112">(CA10*CA11)/60</f>
        <v>-5.8613989637305505E-4</v>
      </c>
      <c r="CH12" s="40">
        <f t="shared" ref="CH12" si="113">(CH10*CH11)/60</f>
        <v>-5.4404145077720199E-3</v>
      </c>
      <c r="CO12" s="40">
        <f t="shared" ref="CO12" si="114">(CO10*CO11)/60</f>
        <v>-1.8196783246977537E-2</v>
      </c>
      <c r="CV12" s="40">
        <f t="shared" ref="CV12" si="115">(CV10*CV11)/60</f>
        <v>-4.2260962387257756E-3</v>
      </c>
      <c r="DC12" s="40">
        <f t="shared" ref="DC12" si="116">(DC10*DC11)/60</f>
        <v>2.8515400115141401E-4</v>
      </c>
      <c r="DJ12" s="40">
        <f t="shared" ref="DJ12" si="117">(DJ10*DJ11)/60</f>
        <v>-9.8763433122241108E-4</v>
      </c>
      <c r="DQ12" s="40">
        <f t="shared" ref="DQ12" si="118">(DQ10*DQ11)/60</f>
        <v>9.6235727307618574E-4</v>
      </c>
      <c r="DX12" s="40">
        <f t="shared" ref="DX12" si="119">(DX10*DX11)/60</f>
        <v>3.220351180195727E-5</v>
      </c>
      <c r="EE12" s="40">
        <f t="shared" ref="EE12" si="120">(EE10*EE11)/60</f>
        <v>-2.5762809441565903E-4</v>
      </c>
      <c r="EL12" s="40">
        <f t="shared" ref="EL12" si="121">(EL10*EL11)/60</f>
        <v>1.5951832661677818E-5</v>
      </c>
      <c r="ES12" s="40">
        <f t="shared" ref="ES12" si="122">(ES10*ES11)/60</f>
        <v>0</v>
      </c>
    </row>
    <row r="13" spans="1:149" ht="16.5" customHeight="1">
      <c r="A13" t="s">
        <v>2</v>
      </c>
      <c r="B13" s="37">
        <v>80</v>
      </c>
    </row>
    <row r="14" spans="1:149">
      <c r="A14" t="s">
        <v>3</v>
      </c>
      <c r="B14" s="37">
        <f>B12*B13</f>
        <v>-1.3745130493187452</v>
      </c>
    </row>
    <row r="15" spans="1:149" ht="30">
      <c r="A15" s="22" t="s">
        <v>22</v>
      </c>
      <c r="B15" s="23" t="s">
        <v>23</v>
      </c>
      <c r="C15" s="22" t="s">
        <v>24</v>
      </c>
    </row>
    <row r="16" spans="1:149">
      <c r="A16" s="24">
        <v>105</v>
      </c>
      <c r="B16" s="25" t="s">
        <v>17</v>
      </c>
      <c r="C16" s="26">
        <f>A16/$A$19</f>
        <v>0.27202072538860106</v>
      </c>
    </row>
    <row r="17" spans="1:3">
      <c r="A17" s="24">
        <v>196</v>
      </c>
      <c r="B17" s="25" t="s">
        <v>18</v>
      </c>
      <c r="C17" s="26">
        <f>A17/$A$19</f>
        <v>0.50777202072538863</v>
      </c>
    </row>
    <row r="18" spans="1:3">
      <c r="A18" s="24">
        <v>85</v>
      </c>
      <c r="B18" s="25" t="s">
        <v>19</v>
      </c>
      <c r="C18" s="26">
        <f>A18/$A$19</f>
        <v>0.22020725388601037</v>
      </c>
    </row>
    <row r="19" spans="1:3">
      <c r="A19" s="27">
        <f>SUM(A16:A18)</f>
        <v>386</v>
      </c>
      <c r="B19" s="28"/>
      <c r="C19" s="29"/>
    </row>
    <row r="114" spans="3:23">
      <c r="C114" s="17">
        <v>0.30555555555555558</v>
      </c>
      <c r="D114" s="17">
        <v>0.32083333333333336</v>
      </c>
      <c r="E114" s="17">
        <v>0.32361111111111113</v>
      </c>
      <c r="F114" s="17">
        <v>0.34375</v>
      </c>
      <c r="G114" s="17">
        <v>0.35902777777777778</v>
      </c>
      <c r="H114" s="17">
        <v>0.38750000000000001</v>
      </c>
      <c r="I114" s="17">
        <v>0.40555555555555556</v>
      </c>
      <c r="J114" s="17">
        <v>0.44861111111111113</v>
      </c>
      <c r="K114" s="17">
        <v>0.46388888888888891</v>
      </c>
      <c r="L114" s="17">
        <v>0.4909722222222222</v>
      </c>
      <c r="M114" s="17">
        <v>0.5180555555555556</v>
      </c>
      <c r="N114" s="17">
        <v>0.52222222222222225</v>
      </c>
      <c r="O114" s="17">
        <v>0.55555555555555558</v>
      </c>
      <c r="P114" s="17">
        <v>0.67013888888888884</v>
      </c>
      <c r="Q114" s="17">
        <v>0.69652777777777775</v>
      </c>
      <c r="R114" s="17">
        <v>0.70347222222222228</v>
      </c>
      <c r="S114" s="17">
        <v>0.73333333333333328</v>
      </c>
      <c r="T114" s="17">
        <v>0.75763888888888886</v>
      </c>
      <c r="U114" s="17">
        <v>0.76180555555555551</v>
      </c>
      <c r="V114" s="17">
        <v>0.79513888888888884</v>
      </c>
      <c r="W114" s="17">
        <v>0.79791666666666672</v>
      </c>
    </row>
    <row r="115" spans="3:23">
      <c r="C115" s="33">
        <f>E5</f>
        <v>9.9</v>
      </c>
      <c r="D115" s="33">
        <f>L5</f>
        <v>22</v>
      </c>
      <c r="E115" s="33">
        <f>S5</f>
        <v>14.5</v>
      </c>
      <c r="F115" s="33">
        <f>Z5</f>
        <v>17.7</v>
      </c>
      <c r="G115" s="33">
        <f>AG5</f>
        <v>20.5</v>
      </c>
      <c r="H115" s="33">
        <f>AN5</f>
        <v>24.5</v>
      </c>
      <c r="I115" s="33">
        <f>AU5</f>
        <v>28.4</v>
      </c>
      <c r="J115" s="33">
        <f>BB5</f>
        <v>31.3</v>
      </c>
      <c r="K115" s="33">
        <f>BI5</f>
        <v>41.4</v>
      </c>
      <c r="L115" s="33">
        <f>BP5</f>
        <v>36.700000000000003</v>
      </c>
      <c r="M115" s="33">
        <f>BW5</f>
        <v>40</v>
      </c>
      <c r="N115" s="33">
        <f>CD5</f>
        <v>39.9</v>
      </c>
      <c r="O115" s="33">
        <f>CK5</f>
        <v>43.4</v>
      </c>
      <c r="P115" s="33">
        <f>CR5</f>
        <v>42.2</v>
      </c>
      <c r="Q115" s="33">
        <f>CY5</f>
        <v>35.700000000000003</v>
      </c>
      <c r="R115" s="33">
        <f>DF5</f>
        <v>32.299999999999997</v>
      </c>
      <c r="S115" s="33">
        <f>DM5</f>
        <v>29.3</v>
      </c>
      <c r="T115" s="33">
        <f>DT5</f>
        <v>25.2</v>
      </c>
      <c r="U115" s="33">
        <f>EA5</f>
        <v>28.7</v>
      </c>
      <c r="V115" s="33">
        <f>EH5</f>
        <v>36.200000000000003</v>
      </c>
      <c r="W115" s="33">
        <f>EO5</f>
        <v>35.1</v>
      </c>
    </row>
    <row r="116" spans="3:23">
      <c r="C116" s="33">
        <f>E6</f>
        <v>4.5</v>
      </c>
      <c r="D116" s="33">
        <f>L6</f>
        <v>22.9</v>
      </c>
      <c r="E116" s="33">
        <f>S6</f>
        <v>25.8</v>
      </c>
      <c r="F116" s="33">
        <f>Z6</f>
        <v>32</v>
      </c>
      <c r="G116" s="33">
        <f>AG6</f>
        <v>37.200000000000003</v>
      </c>
      <c r="H116" s="33">
        <f>AN6</f>
        <v>44.3</v>
      </c>
      <c r="I116" s="33">
        <f>AU6</f>
        <v>51.5</v>
      </c>
      <c r="J116" s="33">
        <f>BB6</f>
        <v>56.8</v>
      </c>
      <c r="K116" s="33">
        <f>BI6</f>
        <v>75.099999999999994</v>
      </c>
      <c r="L116" s="33">
        <f>BP6</f>
        <v>66.599999999999994</v>
      </c>
      <c r="M116" s="33">
        <f>BW6</f>
        <v>72.5</v>
      </c>
      <c r="N116" s="33">
        <f>CD6</f>
        <v>72.400000000000006</v>
      </c>
      <c r="O116" s="33">
        <f>CK6</f>
        <v>78.599999999999994</v>
      </c>
      <c r="P116" s="33">
        <f>CR6</f>
        <v>76.400000000000006</v>
      </c>
      <c r="Q116" s="33">
        <f>CY6</f>
        <v>76.400000000000006</v>
      </c>
      <c r="R116" s="33">
        <f>DF6</f>
        <v>59.4</v>
      </c>
      <c r="S116" s="33">
        <f>DM6</f>
        <v>53.1</v>
      </c>
      <c r="T116" s="33">
        <f>DT6</f>
        <v>45.6</v>
      </c>
      <c r="U116" s="33">
        <f>EA6</f>
        <v>52</v>
      </c>
      <c r="V116" s="33">
        <f>EH6</f>
        <v>57.2</v>
      </c>
      <c r="W116" s="33">
        <f>EO6</f>
        <v>18.3</v>
      </c>
    </row>
    <row r="117" spans="3:23">
      <c r="C117" s="33">
        <f>E7</f>
        <v>7.2</v>
      </c>
      <c r="D117" s="33">
        <f>L7</f>
        <v>17.399999999999999</v>
      </c>
      <c r="E117" s="33">
        <f>S7</f>
        <v>11.4</v>
      </c>
      <c r="F117" s="33">
        <f>Z7</f>
        <v>13.9</v>
      </c>
      <c r="G117" s="33">
        <f>AG7</f>
        <v>16.100000000000001</v>
      </c>
      <c r="H117" s="33">
        <f>AN7</f>
        <v>19.2</v>
      </c>
      <c r="I117" s="33">
        <f>AU7</f>
        <v>22.3</v>
      </c>
      <c r="J117" s="33">
        <f>BB7</f>
        <v>24.6</v>
      </c>
      <c r="K117" s="33">
        <f>BI7</f>
        <v>32.6</v>
      </c>
      <c r="L117" s="33">
        <f>BP7</f>
        <v>28.9</v>
      </c>
      <c r="M117" s="33">
        <f>BW7</f>
        <v>31.5</v>
      </c>
      <c r="N117" s="33">
        <f>CD7</f>
        <v>31.4</v>
      </c>
      <c r="O117" s="33">
        <f>CK7</f>
        <v>34.1</v>
      </c>
      <c r="P117" s="33">
        <f>CR7</f>
        <v>33.200000000000003</v>
      </c>
      <c r="Q117" s="33">
        <f>CY7</f>
        <v>28.1</v>
      </c>
      <c r="R117" s="33">
        <f>DF7</f>
        <v>25.4</v>
      </c>
      <c r="S117" s="33">
        <f>DM7</f>
        <v>23</v>
      </c>
      <c r="T117" s="33">
        <f>DT7</f>
        <v>19.8</v>
      </c>
      <c r="U117" s="33">
        <f>EA7</f>
        <v>22.5</v>
      </c>
      <c r="V117" s="33">
        <f>EH7</f>
        <v>28.5</v>
      </c>
      <c r="W117" s="33">
        <f>EO7</f>
        <v>29.2</v>
      </c>
    </row>
  </sheetData>
  <mergeCells count="25">
    <mergeCell ref="AL3:AR3"/>
    <mergeCell ref="B3:B4"/>
    <mergeCell ref="CB3:CD3"/>
    <mergeCell ref="Q3:W3"/>
    <mergeCell ref="X3:AD3"/>
    <mergeCell ref="AE3:AK3"/>
    <mergeCell ref="A3:A4"/>
    <mergeCell ref="C3:I3"/>
    <mergeCell ref="J3:P3"/>
    <mergeCell ref="A10:B10"/>
    <mergeCell ref="A11:B11"/>
    <mergeCell ref="EM3:ES3"/>
    <mergeCell ref="DR3:DT3"/>
    <mergeCell ref="AS3:AY3"/>
    <mergeCell ref="AZ3:BF3"/>
    <mergeCell ref="BG3:BM3"/>
    <mergeCell ref="BN3:BT3"/>
    <mergeCell ref="BU3:CA3"/>
    <mergeCell ref="CI3:CO3"/>
    <mergeCell ref="CP3:CV3"/>
    <mergeCell ref="CW3:DC3"/>
    <mergeCell ref="DD3:DJ3"/>
    <mergeCell ref="DK3:DQ3"/>
    <mergeCell ref="DY3:EE3"/>
    <mergeCell ref="EF3:EL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N117"/>
  <sheetViews>
    <sheetView topLeftCell="B10" zoomScale="90" zoomScaleNormal="90" workbookViewId="0">
      <selection activeCell="E15" sqref="E15"/>
    </sheetView>
  </sheetViews>
  <sheetFormatPr defaultColWidth="9.140625" defaultRowHeight="15"/>
  <cols>
    <col min="1" max="1" width="15" customWidth="1"/>
    <col min="2" max="2" width="25" customWidth="1"/>
    <col min="3" max="166" width="14" customWidth="1"/>
    <col min="170" max="170" width="18" customWidth="1"/>
  </cols>
  <sheetData>
    <row r="1" spans="1:170" ht="27" customHeight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</row>
    <row r="2" spans="1:170" ht="27" customHeight="1" thickBot="1">
      <c r="A2" s="2"/>
    </row>
    <row r="3" spans="1:170" ht="16.5" thickBot="1">
      <c r="A3" s="63" t="s">
        <v>5</v>
      </c>
      <c r="B3" s="64" t="s">
        <v>6</v>
      </c>
      <c r="C3" s="55">
        <v>0.31111111111111112</v>
      </c>
      <c r="D3" s="56"/>
      <c r="E3" s="56"/>
      <c r="F3" s="56"/>
      <c r="G3" s="56"/>
      <c r="H3" s="56"/>
      <c r="I3" s="57"/>
      <c r="J3" s="52">
        <v>0.31944444444444442</v>
      </c>
      <c r="K3" s="53"/>
      <c r="L3" s="53"/>
      <c r="M3" s="53"/>
      <c r="N3" s="53"/>
      <c r="O3" s="53"/>
      <c r="P3" s="54"/>
      <c r="Q3" s="55">
        <v>0.32222222222222224</v>
      </c>
      <c r="R3" s="56"/>
      <c r="S3" s="56"/>
      <c r="T3" s="56"/>
      <c r="U3" s="56"/>
      <c r="V3" s="56"/>
      <c r="W3" s="57"/>
      <c r="X3" s="52">
        <v>0.33263888888888887</v>
      </c>
      <c r="Y3" s="53"/>
      <c r="Z3" s="53"/>
      <c r="AA3" s="53"/>
      <c r="AB3" s="53"/>
      <c r="AC3" s="53"/>
      <c r="AD3" s="54"/>
      <c r="AE3" s="55">
        <v>0.33541666666666664</v>
      </c>
      <c r="AF3" s="56"/>
      <c r="AG3" s="56"/>
      <c r="AH3" s="56"/>
      <c r="AI3" s="56"/>
      <c r="AJ3" s="56"/>
      <c r="AK3" s="57"/>
      <c r="AL3" s="55">
        <v>0.34652777777777777</v>
      </c>
      <c r="AM3" s="56"/>
      <c r="AN3" s="56"/>
      <c r="AO3" s="56"/>
      <c r="AP3" s="56"/>
      <c r="AQ3" s="56"/>
      <c r="AR3" s="57"/>
      <c r="AS3" s="52">
        <v>0.36527777777777776</v>
      </c>
      <c r="AT3" s="53"/>
      <c r="AU3" s="53"/>
      <c r="AV3" s="53"/>
      <c r="AW3" s="53"/>
      <c r="AX3" s="53"/>
      <c r="AY3" s="54"/>
      <c r="AZ3" s="60">
        <v>0.38680555555555557</v>
      </c>
      <c r="BA3" s="61"/>
      <c r="BB3" s="61"/>
      <c r="BC3" s="61"/>
      <c r="BD3" s="61"/>
      <c r="BE3" s="61"/>
      <c r="BF3" s="62"/>
      <c r="BG3" s="52">
        <v>0.39513888888888887</v>
      </c>
      <c r="BH3" s="53"/>
      <c r="BI3" s="53"/>
      <c r="BJ3" s="53"/>
      <c r="BK3" s="53"/>
      <c r="BL3" s="53"/>
      <c r="BM3" s="54"/>
      <c r="BN3" s="60">
        <v>0.49930555555555556</v>
      </c>
      <c r="BO3" s="61"/>
      <c r="BP3" s="61"/>
      <c r="BQ3" s="61"/>
      <c r="BR3" s="61"/>
      <c r="BS3" s="61"/>
      <c r="BT3" s="62"/>
      <c r="BU3" s="52">
        <v>0.50902777777777775</v>
      </c>
      <c r="BV3" s="53"/>
      <c r="BW3" s="53"/>
      <c r="BX3" s="53"/>
      <c r="BY3" s="53"/>
      <c r="BZ3" s="53"/>
      <c r="CA3" s="54"/>
      <c r="CB3" s="51">
        <v>0.52500000000000002</v>
      </c>
      <c r="CC3" s="65"/>
      <c r="CD3" s="66"/>
      <c r="CE3" s="16"/>
      <c r="CF3" s="16"/>
      <c r="CG3" s="16"/>
      <c r="CH3" s="16"/>
      <c r="CI3" s="52">
        <v>0.53541666666666665</v>
      </c>
      <c r="CJ3" s="53"/>
      <c r="CK3" s="53"/>
      <c r="CL3" s="53"/>
      <c r="CM3" s="53"/>
      <c r="CN3" s="53"/>
      <c r="CO3" s="54"/>
      <c r="CP3" s="60">
        <v>0.5395833333333333</v>
      </c>
      <c r="CQ3" s="61"/>
      <c r="CR3" s="61"/>
      <c r="CS3" s="61"/>
      <c r="CT3" s="61"/>
      <c r="CU3" s="61"/>
      <c r="CV3" s="62"/>
      <c r="CW3" s="52">
        <v>0.54513888888888884</v>
      </c>
      <c r="CX3" s="53"/>
      <c r="CY3" s="53"/>
      <c r="CZ3" s="53"/>
      <c r="DA3" s="53"/>
      <c r="DB3" s="53"/>
      <c r="DC3" s="54"/>
      <c r="DD3" s="60">
        <v>0.55902777777777779</v>
      </c>
      <c r="DE3" s="61"/>
      <c r="DF3" s="61"/>
      <c r="DG3" s="61"/>
      <c r="DH3" s="61"/>
      <c r="DI3" s="61"/>
      <c r="DJ3" s="62"/>
      <c r="DK3" s="52">
        <v>0.62013888888888891</v>
      </c>
      <c r="DL3" s="53"/>
      <c r="DM3" s="53"/>
      <c r="DN3" s="53"/>
      <c r="DO3" s="53"/>
      <c r="DP3" s="53"/>
      <c r="DQ3" s="54"/>
      <c r="DR3" s="51">
        <v>0.65</v>
      </c>
      <c r="DS3" s="65"/>
      <c r="DT3" s="66"/>
      <c r="DU3" s="16"/>
      <c r="DV3" s="16"/>
      <c r="DW3" s="16"/>
      <c r="DX3" s="16"/>
      <c r="DY3" s="52">
        <v>0.66319444444444442</v>
      </c>
      <c r="DZ3" s="53"/>
      <c r="EA3" s="53"/>
      <c r="EB3" s="53"/>
      <c r="EC3" s="53"/>
      <c r="ED3" s="53"/>
      <c r="EE3" s="54"/>
      <c r="EF3" s="60">
        <v>0.67638888888888893</v>
      </c>
      <c r="EG3" s="61"/>
      <c r="EH3" s="61"/>
      <c r="EI3" s="61"/>
      <c r="EJ3" s="61"/>
      <c r="EK3" s="61"/>
      <c r="EL3" s="62"/>
      <c r="EM3" s="52">
        <v>0.7006944444444444</v>
      </c>
      <c r="EN3" s="53"/>
      <c r="EO3" s="53"/>
      <c r="EP3" s="53"/>
      <c r="EQ3" s="53"/>
      <c r="ER3" s="53"/>
      <c r="ES3" s="54"/>
      <c r="ET3" s="60">
        <v>0.71250000000000002</v>
      </c>
      <c r="EU3" s="61"/>
      <c r="EV3" s="61"/>
      <c r="EW3" s="61"/>
      <c r="EX3" s="61"/>
      <c r="EY3" s="61"/>
      <c r="EZ3" s="62"/>
      <c r="FA3" s="52">
        <v>0.72777777777777775</v>
      </c>
      <c r="FB3" s="53"/>
      <c r="FC3" s="53"/>
      <c r="FD3" s="53"/>
      <c r="FE3" s="53"/>
      <c r="FF3" s="53"/>
      <c r="FG3" s="54"/>
      <c r="FH3" s="60">
        <v>0.78194444444444444</v>
      </c>
      <c r="FI3" s="61"/>
      <c r="FJ3" s="61"/>
      <c r="FK3" s="61"/>
      <c r="FL3" s="61"/>
      <c r="FM3" s="61"/>
      <c r="FN3" s="62"/>
    </row>
    <row r="4" spans="1:170" ht="77.25" thickBot="1">
      <c r="A4" s="68"/>
      <c r="B4" s="68"/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1" t="s">
        <v>7</v>
      </c>
      <c r="K4" s="31" t="s">
        <v>8</v>
      </c>
      <c r="L4" s="31" t="s">
        <v>9</v>
      </c>
      <c r="M4" s="32" t="s">
        <v>10</v>
      </c>
      <c r="N4" s="32" t="s">
        <v>11</v>
      </c>
      <c r="O4" s="32" t="s">
        <v>12</v>
      </c>
      <c r="P4" s="32" t="s">
        <v>13</v>
      </c>
      <c r="Q4" s="34" t="s">
        <v>7</v>
      </c>
      <c r="R4" s="34" t="s">
        <v>8</v>
      </c>
      <c r="S4" s="34" t="s">
        <v>9</v>
      </c>
      <c r="T4" s="30" t="s">
        <v>10</v>
      </c>
      <c r="U4" s="30" t="s">
        <v>11</v>
      </c>
      <c r="V4" s="30" t="s">
        <v>12</v>
      </c>
      <c r="W4" s="30" t="s">
        <v>13</v>
      </c>
      <c r="X4" s="31" t="s">
        <v>7</v>
      </c>
      <c r="Y4" s="31" t="s">
        <v>8</v>
      </c>
      <c r="Z4" s="31" t="s">
        <v>9</v>
      </c>
      <c r="AA4" s="32" t="s">
        <v>10</v>
      </c>
      <c r="AB4" s="32" t="s">
        <v>11</v>
      </c>
      <c r="AC4" s="32" t="s">
        <v>12</v>
      </c>
      <c r="AD4" s="32" t="s">
        <v>13</v>
      </c>
      <c r="AE4" s="34" t="s">
        <v>7</v>
      </c>
      <c r="AF4" s="34" t="s">
        <v>8</v>
      </c>
      <c r="AG4" s="34" t="s">
        <v>9</v>
      </c>
      <c r="AH4" s="30" t="s">
        <v>10</v>
      </c>
      <c r="AI4" s="30" t="s">
        <v>11</v>
      </c>
      <c r="AJ4" s="30" t="s">
        <v>12</v>
      </c>
      <c r="AK4" s="30" t="s">
        <v>13</v>
      </c>
      <c r="AL4" s="30" t="s">
        <v>7</v>
      </c>
      <c r="AM4" s="30" t="s">
        <v>8</v>
      </c>
      <c r="AN4" s="30" t="s">
        <v>9</v>
      </c>
      <c r="AO4" s="30" t="s">
        <v>10</v>
      </c>
      <c r="AP4" s="30" t="s">
        <v>11</v>
      </c>
      <c r="AQ4" s="30" t="s">
        <v>12</v>
      </c>
      <c r="AR4" s="30" t="s">
        <v>13</v>
      </c>
      <c r="AS4" s="31" t="s">
        <v>7</v>
      </c>
      <c r="AT4" s="31" t="s">
        <v>8</v>
      </c>
      <c r="AU4" s="31" t="s">
        <v>9</v>
      </c>
      <c r="AV4" s="32" t="s">
        <v>10</v>
      </c>
      <c r="AW4" s="32" t="s">
        <v>11</v>
      </c>
      <c r="AX4" s="32" t="s">
        <v>12</v>
      </c>
      <c r="AY4" s="32" t="s">
        <v>13</v>
      </c>
      <c r="AZ4" s="30" t="s">
        <v>7</v>
      </c>
      <c r="BA4" s="30" t="s">
        <v>8</v>
      </c>
      <c r="BB4" s="30" t="s">
        <v>9</v>
      </c>
      <c r="BC4" s="30" t="s">
        <v>10</v>
      </c>
      <c r="BD4" s="30" t="s">
        <v>11</v>
      </c>
      <c r="BE4" s="30" t="s">
        <v>12</v>
      </c>
      <c r="BF4" s="30" t="s">
        <v>13</v>
      </c>
      <c r="BG4" s="31" t="s">
        <v>7</v>
      </c>
      <c r="BH4" s="31" t="s">
        <v>8</v>
      </c>
      <c r="BI4" s="31" t="s">
        <v>9</v>
      </c>
      <c r="BJ4" s="32" t="s">
        <v>10</v>
      </c>
      <c r="BK4" s="32" t="s">
        <v>11</v>
      </c>
      <c r="BL4" s="32" t="s">
        <v>12</v>
      </c>
      <c r="BM4" s="32" t="s">
        <v>13</v>
      </c>
      <c r="BN4" s="30" t="s">
        <v>7</v>
      </c>
      <c r="BO4" s="30" t="s">
        <v>8</v>
      </c>
      <c r="BP4" s="30" t="s">
        <v>9</v>
      </c>
      <c r="BQ4" s="30" t="s">
        <v>10</v>
      </c>
      <c r="BR4" s="30" t="s">
        <v>11</v>
      </c>
      <c r="BS4" s="30" t="s">
        <v>12</v>
      </c>
      <c r="BT4" s="30" t="s">
        <v>13</v>
      </c>
      <c r="BU4" s="31" t="s">
        <v>7</v>
      </c>
      <c r="BV4" s="31" t="s">
        <v>8</v>
      </c>
      <c r="BW4" s="31" t="s">
        <v>9</v>
      </c>
      <c r="BX4" s="32" t="s">
        <v>10</v>
      </c>
      <c r="BY4" s="32" t="s">
        <v>11</v>
      </c>
      <c r="BZ4" s="32" t="s">
        <v>12</v>
      </c>
      <c r="CA4" s="32" t="s">
        <v>13</v>
      </c>
      <c r="CB4" s="30" t="s">
        <v>7</v>
      </c>
      <c r="CC4" s="30" t="s">
        <v>8</v>
      </c>
      <c r="CD4" s="30" t="s">
        <v>9</v>
      </c>
      <c r="CE4" s="30" t="s">
        <v>10</v>
      </c>
      <c r="CF4" s="30" t="s">
        <v>11</v>
      </c>
      <c r="CG4" s="30" t="s">
        <v>12</v>
      </c>
      <c r="CH4" s="30" t="s">
        <v>13</v>
      </c>
      <c r="CI4" s="31" t="s">
        <v>7</v>
      </c>
      <c r="CJ4" s="31" t="s">
        <v>8</v>
      </c>
      <c r="CK4" s="31" t="s">
        <v>9</v>
      </c>
      <c r="CL4" s="32" t="s">
        <v>10</v>
      </c>
      <c r="CM4" s="32" t="s">
        <v>11</v>
      </c>
      <c r="CN4" s="32" t="s">
        <v>12</v>
      </c>
      <c r="CO4" s="32" t="s">
        <v>13</v>
      </c>
      <c r="CP4" s="30" t="s">
        <v>7</v>
      </c>
      <c r="CQ4" s="30" t="s">
        <v>8</v>
      </c>
      <c r="CR4" s="30" t="s">
        <v>9</v>
      </c>
      <c r="CS4" s="30" t="s">
        <v>10</v>
      </c>
      <c r="CT4" s="30" t="s">
        <v>11</v>
      </c>
      <c r="CU4" s="30" t="s">
        <v>12</v>
      </c>
      <c r="CV4" s="30" t="s">
        <v>13</v>
      </c>
      <c r="CW4" s="31" t="s">
        <v>7</v>
      </c>
      <c r="CX4" s="31" t="s">
        <v>8</v>
      </c>
      <c r="CY4" s="31" t="s">
        <v>9</v>
      </c>
      <c r="CZ4" s="32" t="s">
        <v>10</v>
      </c>
      <c r="DA4" s="32" t="s">
        <v>11</v>
      </c>
      <c r="DB4" s="32" t="s">
        <v>12</v>
      </c>
      <c r="DC4" s="32" t="s">
        <v>13</v>
      </c>
      <c r="DD4" s="30" t="s">
        <v>7</v>
      </c>
      <c r="DE4" s="30" t="s">
        <v>8</v>
      </c>
      <c r="DF4" s="30" t="s">
        <v>9</v>
      </c>
      <c r="DG4" s="30" t="s">
        <v>10</v>
      </c>
      <c r="DH4" s="30" t="s">
        <v>11</v>
      </c>
      <c r="DI4" s="30" t="s">
        <v>12</v>
      </c>
      <c r="DJ4" s="30" t="s">
        <v>13</v>
      </c>
      <c r="DK4" s="31" t="s">
        <v>7</v>
      </c>
      <c r="DL4" s="31" t="s">
        <v>8</v>
      </c>
      <c r="DM4" s="31" t="s">
        <v>9</v>
      </c>
      <c r="DN4" s="32" t="s">
        <v>10</v>
      </c>
      <c r="DO4" s="32" t="s">
        <v>11</v>
      </c>
      <c r="DP4" s="32" t="s">
        <v>12</v>
      </c>
      <c r="DQ4" s="32" t="s">
        <v>13</v>
      </c>
      <c r="DR4" s="30" t="s">
        <v>7</v>
      </c>
      <c r="DS4" s="30" t="s">
        <v>8</v>
      </c>
      <c r="DT4" s="30" t="s">
        <v>9</v>
      </c>
      <c r="DU4" s="30" t="s">
        <v>10</v>
      </c>
      <c r="DV4" s="30" t="s">
        <v>11</v>
      </c>
      <c r="DW4" s="30" t="s">
        <v>12</v>
      </c>
      <c r="DX4" s="30" t="s">
        <v>13</v>
      </c>
      <c r="DY4" s="31" t="s">
        <v>7</v>
      </c>
      <c r="DZ4" s="31" t="s">
        <v>8</v>
      </c>
      <c r="EA4" s="31" t="s">
        <v>9</v>
      </c>
      <c r="EB4" s="32" t="s">
        <v>10</v>
      </c>
      <c r="EC4" s="32" t="s">
        <v>11</v>
      </c>
      <c r="ED4" s="32" t="s">
        <v>12</v>
      </c>
      <c r="EE4" s="32" t="s">
        <v>13</v>
      </c>
      <c r="EF4" s="30" t="s">
        <v>7</v>
      </c>
      <c r="EG4" s="30" t="s">
        <v>8</v>
      </c>
      <c r="EH4" s="30" t="s">
        <v>9</v>
      </c>
      <c r="EI4" s="30" t="s">
        <v>10</v>
      </c>
      <c r="EJ4" s="30" t="s">
        <v>11</v>
      </c>
      <c r="EK4" s="30" t="s">
        <v>12</v>
      </c>
      <c r="EL4" s="30" t="s">
        <v>13</v>
      </c>
      <c r="EM4" s="31" t="s">
        <v>7</v>
      </c>
      <c r="EN4" s="31" t="s">
        <v>8</v>
      </c>
      <c r="EO4" s="31" t="s">
        <v>9</v>
      </c>
      <c r="EP4" s="32" t="s">
        <v>10</v>
      </c>
      <c r="EQ4" s="32" t="s">
        <v>11</v>
      </c>
      <c r="ER4" s="32" t="s">
        <v>12</v>
      </c>
      <c r="ES4" s="32" t="s">
        <v>13</v>
      </c>
      <c r="ET4" s="30" t="s">
        <v>7</v>
      </c>
      <c r="EU4" s="30" t="s">
        <v>8</v>
      </c>
      <c r="EV4" s="30" t="s">
        <v>9</v>
      </c>
      <c r="EW4" s="30" t="s">
        <v>10</v>
      </c>
      <c r="EX4" s="30" t="s">
        <v>11</v>
      </c>
      <c r="EY4" s="30" t="s">
        <v>12</v>
      </c>
      <c r="EZ4" s="30" t="s">
        <v>13</v>
      </c>
      <c r="FA4" s="31" t="s">
        <v>7</v>
      </c>
      <c r="FB4" s="31" t="s">
        <v>8</v>
      </c>
      <c r="FC4" s="31" t="s">
        <v>9</v>
      </c>
      <c r="FD4" s="32" t="s">
        <v>10</v>
      </c>
      <c r="FE4" s="32" t="s">
        <v>11</v>
      </c>
      <c r="FF4" s="32" t="s">
        <v>12</v>
      </c>
      <c r="FG4" s="32" t="s">
        <v>13</v>
      </c>
      <c r="FH4" s="30" t="s">
        <v>7</v>
      </c>
      <c r="FI4" s="30" t="s">
        <v>8</v>
      </c>
      <c r="FJ4" s="30" t="s">
        <v>9</v>
      </c>
      <c r="FK4" s="30" t="s">
        <v>10</v>
      </c>
      <c r="FL4" s="30" t="s">
        <v>11</v>
      </c>
      <c r="FM4" s="30" t="s">
        <v>12</v>
      </c>
      <c r="FN4" s="30" t="s">
        <v>13</v>
      </c>
    </row>
    <row r="5" spans="1:170">
      <c r="A5" s="6">
        <v>45964</v>
      </c>
      <c r="B5" s="7" t="s">
        <v>17</v>
      </c>
      <c r="C5" s="8">
        <v>13</v>
      </c>
      <c r="D5" s="9">
        <v>2</v>
      </c>
      <c r="E5" s="10">
        <v>14.6</v>
      </c>
      <c r="F5" s="19">
        <f>IF($D$8=0,0,D5/$D$8)</f>
        <v>0.14285714285714285</v>
      </c>
      <c r="G5" s="19">
        <f>C16</f>
        <v>0.27202072538860106</v>
      </c>
      <c r="H5" s="19">
        <f>F5-G5</f>
        <v>-0.12916358253145821</v>
      </c>
      <c r="I5" s="20">
        <f>G5*$D$8</f>
        <v>3.8082901554404147</v>
      </c>
      <c r="J5" s="8">
        <v>15</v>
      </c>
      <c r="K5" s="9">
        <v>14</v>
      </c>
      <c r="L5" s="10">
        <v>28.7</v>
      </c>
      <c r="M5" s="19">
        <f>IF($K$8=0,0,J5/$K$8)</f>
        <v>0.42857142857142855</v>
      </c>
      <c r="N5" s="19">
        <f>C16</f>
        <v>0.27202072538860106</v>
      </c>
      <c r="O5" s="19">
        <f>M5-N5</f>
        <v>0.15655070318282749</v>
      </c>
      <c r="P5" s="20">
        <f>N5*$K$8</f>
        <v>9.5207253886010363</v>
      </c>
      <c r="Q5" s="8">
        <v>17</v>
      </c>
      <c r="R5" s="9">
        <v>19</v>
      </c>
      <c r="S5" s="10">
        <v>36.1</v>
      </c>
      <c r="T5" s="19">
        <f>R5/$R$8</f>
        <v>0.5757575757575758</v>
      </c>
      <c r="U5" s="19">
        <f>C16</f>
        <v>0.27202072538860106</v>
      </c>
      <c r="V5" s="19">
        <f>T5-U5</f>
        <v>0.30373685036897474</v>
      </c>
      <c r="W5" s="20">
        <f>U5*$R$8</f>
        <v>8.9766839378238341</v>
      </c>
      <c r="X5" s="8">
        <v>14</v>
      </c>
      <c r="Y5" s="9">
        <v>2</v>
      </c>
      <c r="Z5" s="10">
        <v>15.4</v>
      </c>
      <c r="AA5" s="19">
        <f>Y5/Y8</f>
        <v>0.18181818181818182</v>
      </c>
      <c r="AB5" s="19">
        <f>C16</f>
        <v>0.27202072538860106</v>
      </c>
      <c r="AC5" s="19">
        <f>AA5-AB5</f>
        <v>-9.0202543570419236E-2</v>
      </c>
      <c r="AD5" s="20">
        <f>AB5*Y8</f>
        <v>2.9922279792746118</v>
      </c>
      <c r="AE5" s="8">
        <v>36</v>
      </c>
      <c r="AF5" s="9">
        <v>0</v>
      </c>
      <c r="AG5" s="10">
        <v>35.9</v>
      </c>
      <c r="AH5" s="19">
        <f>AF5/$AF$8</f>
        <v>0</v>
      </c>
      <c r="AI5" s="19">
        <f>C16</f>
        <v>0.27202072538860106</v>
      </c>
      <c r="AJ5" s="19">
        <f>AH5-AI5</f>
        <v>-0.27202072538860106</v>
      </c>
      <c r="AK5" s="20">
        <f>AI5*$AF$8</f>
        <v>6.8005181347150261</v>
      </c>
      <c r="AL5" s="8">
        <v>36</v>
      </c>
      <c r="AM5" s="9">
        <v>19</v>
      </c>
      <c r="AN5" s="10">
        <v>54.9</v>
      </c>
      <c r="AO5" s="19">
        <f>AM5/$AM$8</f>
        <v>0.5</v>
      </c>
      <c r="AP5" s="19">
        <f>C16</f>
        <v>0.27202072538860106</v>
      </c>
      <c r="AQ5" s="19">
        <f>AO5-AP5</f>
        <v>0.22797927461139894</v>
      </c>
      <c r="AR5" s="20">
        <f>AP5*$AM$8</f>
        <v>10.336787564766841</v>
      </c>
      <c r="AS5" s="8">
        <v>64</v>
      </c>
      <c r="AT5" s="9">
        <v>10</v>
      </c>
      <c r="AU5" s="10">
        <v>74.5</v>
      </c>
      <c r="AV5" s="19">
        <f>AT5/$AT$8</f>
        <v>0.20408163265306123</v>
      </c>
      <c r="AW5" s="19">
        <f>C16</f>
        <v>0.27202072538860106</v>
      </c>
      <c r="AX5" s="19">
        <f>AV5-AW5</f>
        <v>-6.793909273553983E-2</v>
      </c>
      <c r="AY5" s="20">
        <f>AW5*$AT$8</f>
        <v>13.329015544041452</v>
      </c>
      <c r="AZ5" s="8">
        <v>75</v>
      </c>
      <c r="BA5" s="9">
        <v>-8</v>
      </c>
      <c r="BB5" s="10">
        <v>67.2</v>
      </c>
      <c r="BC5" s="19">
        <f>BA5/$BA$8</f>
        <v>-0.53333333333333333</v>
      </c>
      <c r="BD5" s="19">
        <f>C16</f>
        <v>0.27202072538860106</v>
      </c>
      <c r="BE5" s="19">
        <f>BC5-BD5</f>
        <v>-0.80535405872193433</v>
      </c>
      <c r="BF5" s="20">
        <f>BD5*$BA$8</f>
        <v>4.0803108808290158</v>
      </c>
      <c r="BG5" s="8">
        <v>67</v>
      </c>
      <c r="BH5" s="9">
        <v>5</v>
      </c>
      <c r="BI5" s="10">
        <v>72.7</v>
      </c>
      <c r="BJ5" s="19">
        <f>BH5/$BH$8</f>
        <v>0.17857142857142858</v>
      </c>
      <c r="BK5" s="19">
        <f>C16</f>
        <v>0.27202072538860106</v>
      </c>
      <c r="BL5" s="19">
        <f>BJ5-BK5</f>
        <v>-9.3449296817172484E-2</v>
      </c>
      <c r="BM5" s="20">
        <f>BK5*$BH$8</f>
        <v>7.6165803108808294</v>
      </c>
      <c r="BN5" s="8">
        <v>73</v>
      </c>
      <c r="BO5" s="9">
        <v>-7</v>
      </c>
      <c r="BP5" s="10">
        <v>66.3</v>
      </c>
      <c r="BQ5" s="19">
        <f>BO5/$BO$8</f>
        <v>1</v>
      </c>
      <c r="BR5" s="19">
        <f>C16</f>
        <v>0.27202072538860106</v>
      </c>
      <c r="BS5" s="19">
        <f>BQ5-BR5</f>
        <v>0.72797927461139889</v>
      </c>
      <c r="BT5" s="20">
        <f>BR5*$BO$8</f>
        <v>-1.9041450777202074</v>
      </c>
      <c r="BU5" s="8">
        <v>66</v>
      </c>
      <c r="BV5" s="9">
        <v>-3</v>
      </c>
      <c r="BW5" s="10">
        <v>63.5</v>
      </c>
      <c r="BX5" s="19">
        <f>BV5/$BV$8</f>
        <v>-5.7692307692307696E-2</v>
      </c>
      <c r="BY5" s="19">
        <f>C16</f>
        <v>0.27202072538860106</v>
      </c>
      <c r="BZ5" s="19">
        <f>BX5-BY5</f>
        <v>-0.32971303308090877</v>
      </c>
      <c r="CA5" s="20">
        <f>BY5*$BV$8</f>
        <v>14.145077720207254</v>
      </c>
      <c r="CB5" s="8">
        <v>64</v>
      </c>
      <c r="CC5" s="9">
        <v>-5</v>
      </c>
      <c r="CD5" s="10">
        <v>58.9</v>
      </c>
      <c r="CE5" s="19">
        <f>CC5/$CC$8</f>
        <v>-0.14705882352941177</v>
      </c>
      <c r="CF5" s="19">
        <f>C16</f>
        <v>0.27202072538860106</v>
      </c>
      <c r="CG5" s="19">
        <f>CE5-CF5</f>
        <v>-0.4190795489180128</v>
      </c>
      <c r="CH5" s="20">
        <f>CF5*$CC$8</f>
        <v>9.2487046632124361</v>
      </c>
      <c r="CI5" s="8">
        <v>59</v>
      </c>
      <c r="CJ5" s="9">
        <v>-5</v>
      </c>
      <c r="CK5" s="10">
        <v>54.2</v>
      </c>
      <c r="CL5" s="19">
        <f>CJ5/$CJ$8</f>
        <v>-0.11363636363636363</v>
      </c>
      <c r="CM5" s="19">
        <f>C16</f>
        <v>0.27202072538860106</v>
      </c>
      <c r="CN5" s="19">
        <f>CL5-CM5</f>
        <v>-0.38565708902496471</v>
      </c>
      <c r="CO5" s="20">
        <f>CM5*$CJ$8</f>
        <v>11.968911917098447</v>
      </c>
      <c r="CP5" s="8">
        <v>54</v>
      </c>
      <c r="CQ5" s="9">
        <v>-5</v>
      </c>
      <c r="CR5" s="10">
        <v>49.1</v>
      </c>
      <c r="CS5" s="19">
        <f>CQ5/$CQ$8</f>
        <v>-0.11904761904761904</v>
      </c>
      <c r="CT5" s="19">
        <f>C16</f>
        <v>0.27202072538860106</v>
      </c>
      <c r="CU5" s="19">
        <f>CS5-CT5</f>
        <v>-0.39106834443622007</v>
      </c>
      <c r="CV5" s="20">
        <f>CT5*$CQ$8</f>
        <v>11.424870466321245</v>
      </c>
      <c r="CW5" s="8">
        <v>49</v>
      </c>
      <c r="CX5" s="9">
        <v>-4</v>
      </c>
      <c r="CY5" s="10">
        <v>45.1</v>
      </c>
      <c r="CZ5" s="19">
        <f>CX5/$CX$8</f>
        <v>-0.23529411764705882</v>
      </c>
      <c r="DA5" s="19">
        <f>C16</f>
        <v>0.27202072538860106</v>
      </c>
      <c r="DB5" s="19">
        <f>CZ5-DA5</f>
        <v>-0.50731484303565988</v>
      </c>
      <c r="DC5" s="20">
        <f>DA5*$CX$8</f>
        <v>4.6243523316062181</v>
      </c>
      <c r="DD5" s="8">
        <v>45</v>
      </c>
      <c r="DE5" s="9">
        <v>2</v>
      </c>
      <c r="DF5" s="10">
        <v>47.5</v>
      </c>
      <c r="DG5" s="19">
        <f>DE5/$DE$8</f>
        <v>-5.8823529411764705E-2</v>
      </c>
      <c r="DH5" s="19">
        <f>C16</f>
        <v>0.27202072538860106</v>
      </c>
      <c r="DI5" s="19">
        <f>DG5-DH5</f>
        <v>-0.33084425480036578</v>
      </c>
      <c r="DJ5" s="20">
        <f>DH5*$DE$8</f>
        <v>-9.2487046632124361</v>
      </c>
      <c r="DK5" s="8">
        <v>48</v>
      </c>
      <c r="DL5" s="9">
        <v>-2</v>
      </c>
      <c r="DM5" s="10">
        <v>46.3</v>
      </c>
      <c r="DN5" s="19">
        <f>DL5/$DL$8</f>
        <v>-0.4</v>
      </c>
      <c r="DO5" s="19">
        <f>C16</f>
        <v>0.27202072538860106</v>
      </c>
      <c r="DP5" s="19">
        <f>DN5-DO5</f>
        <v>-0.67202072538860103</v>
      </c>
      <c r="DQ5" s="20">
        <f>DO5*$DL$8</f>
        <v>1.3601036269430054</v>
      </c>
      <c r="DR5" s="8">
        <v>46</v>
      </c>
      <c r="DS5" s="9">
        <v>-4</v>
      </c>
      <c r="DT5" s="10">
        <v>42.4</v>
      </c>
      <c r="DU5" s="19">
        <f>DS5/$DS$8</f>
        <v>-0.2857142857142857</v>
      </c>
      <c r="DV5" s="19">
        <f>C16</f>
        <v>0.27202072538860106</v>
      </c>
      <c r="DW5" s="19">
        <f>DU5-DV5</f>
        <v>-0.5577350111028867</v>
      </c>
      <c r="DX5" s="20">
        <f>DV5*$DS$8</f>
        <v>3.8082901554404147</v>
      </c>
      <c r="DY5" s="8">
        <v>42</v>
      </c>
      <c r="DZ5" s="9">
        <v>6</v>
      </c>
      <c r="EA5" s="10">
        <v>47.8</v>
      </c>
      <c r="EB5" s="19">
        <f>DZ5/$DZ$8</f>
        <v>-9.0909090909090912E-2</v>
      </c>
      <c r="EC5" s="19">
        <f>C16</f>
        <v>0.27202072538860106</v>
      </c>
      <c r="ED5" s="19">
        <f>EB5-EC5</f>
        <v>-0.36292981629769194</v>
      </c>
      <c r="EE5" s="20">
        <f>EC5*$DZ$8</f>
        <v>-17.953367875647668</v>
      </c>
      <c r="EF5" s="8">
        <v>48</v>
      </c>
      <c r="EG5" s="9">
        <v>3</v>
      </c>
      <c r="EH5" s="10">
        <v>50.9</v>
      </c>
      <c r="EI5" s="19">
        <f>EG5/$EG$8</f>
        <v>0.3</v>
      </c>
      <c r="EJ5" s="19">
        <f>C16</f>
        <v>0.27202072538860106</v>
      </c>
      <c r="EK5" s="19">
        <f>EI5-EJ5</f>
        <v>2.797927461139893E-2</v>
      </c>
      <c r="EL5" s="20">
        <f>EJ5*$EG$8</f>
        <v>2.7202072538860107</v>
      </c>
      <c r="EM5" s="8">
        <v>51</v>
      </c>
      <c r="EN5" s="9">
        <v>-8</v>
      </c>
      <c r="EO5" s="10">
        <v>42.7</v>
      </c>
      <c r="EP5" s="19">
        <f>EN5/$EN$8</f>
        <v>0.2857142857142857</v>
      </c>
      <c r="EQ5" s="19">
        <f>C16</f>
        <v>0.27202072538860106</v>
      </c>
      <c r="ER5" s="19">
        <f>EP5-EQ5</f>
        <v>1.3693560325684639E-2</v>
      </c>
      <c r="ES5" s="20">
        <f>EQ5*$EN$8</f>
        <v>-7.6165803108808294</v>
      </c>
      <c r="ET5" s="8">
        <v>43</v>
      </c>
      <c r="EU5" s="9">
        <v>-6</v>
      </c>
      <c r="EV5" s="10">
        <v>37.6</v>
      </c>
      <c r="EW5" s="19">
        <f>EU5/$EU$8</f>
        <v>0.31578947368421051</v>
      </c>
      <c r="EX5" s="19">
        <f>C16</f>
        <v>0.27202072538860106</v>
      </c>
      <c r="EY5" s="19">
        <f>EW5-EX5</f>
        <v>4.376874829560945E-2</v>
      </c>
      <c r="EZ5" s="20">
        <f>EX5*$EU$8</f>
        <v>-5.1683937823834203</v>
      </c>
      <c r="FA5" s="8">
        <v>38</v>
      </c>
      <c r="FB5" s="9">
        <v>5</v>
      </c>
      <c r="FC5" s="10">
        <v>42.9</v>
      </c>
      <c r="FD5" s="19">
        <f>FB5/$FB$8</f>
        <v>0.26315789473684209</v>
      </c>
      <c r="FE5" s="19">
        <f>C16</f>
        <v>0.27202072538860106</v>
      </c>
      <c r="FF5" s="19">
        <f>FD5-FE5</f>
        <v>-8.8628306517589683E-3</v>
      </c>
      <c r="FG5" s="20">
        <f>FE5*$FB$8</f>
        <v>5.1683937823834203</v>
      </c>
      <c r="FH5" s="8">
        <v>52</v>
      </c>
      <c r="FI5" s="9">
        <v>2</v>
      </c>
      <c r="FJ5" s="10">
        <v>54</v>
      </c>
      <c r="FK5" s="19">
        <f>FI5/$FI$8</f>
        <v>0.15384615384615385</v>
      </c>
      <c r="FL5" s="19">
        <f>C16</f>
        <v>0.27202072538860106</v>
      </c>
      <c r="FM5" s="19">
        <f>FK5-FL5</f>
        <v>-0.1181745715424472</v>
      </c>
      <c r="FN5" s="20">
        <f>FL5*$FI$8</f>
        <v>3.5362694300518136</v>
      </c>
    </row>
    <row r="6" spans="1:170">
      <c r="A6" s="11">
        <v>45964</v>
      </c>
      <c r="B6" s="12" t="s">
        <v>18</v>
      </c>
      <c r="C6" s="8">
        <v>12</v>
      </c>
      <c r="D6" s="9">
        <v>10</v>
      </c>
      <c r="E6" s="10">
        <v>21.7</v>
      </c>
      <c r="F6" s="19">
        <f t="shared" ref="F6:F7" si="0">IF($D$8=0,0,D6/$D$8)</f>
        <v>0.7142857142857143</v>
      </c>
      <c r="G6" s="19">
        <f t="shared" ref="G6:G7" si="1">C17</f>
        <v>0.50777202072538863</v>
      </c>
      <c r="H6" s="19">
        <f t="shared" ref="H6:H7" si="2">F6-G6</f>
        <v>0.20651369356032567</v>
      </c>
      <c r="I6" s="20">
        <f t="shared" ref="I6:I7" si="3">G6*$D$8</f>
        <v>7.1088082901554408</v>
      </c>
      <c r="J6" s="8">
        <v>21</v>
      </c>
      <c r="K6" s="9">
        <v>11</v>
      </c>
      <c r="L6" s="10">
        <v>32.1</v>
      </c>
      <c r="M6" s="19">
        <f t="shared" ref="M6:M7" si="4">IF($K$8=0,0,J6/$K$8)</f>
        <v>0.6</v>
      </c>
      <c r="N6" s="19">
        <f t="shared" ref="N6:N7" si="5">C17</f>
        <v>0.50777202072538863</v>
      </c>
      <c r="O6" s="19">
        <f t="shared" ref="O6:O7" si="6">M6-N6</f>
        <v>9.2227979274611349E-2</v>
      </c>
      <c r="P6" s="20">
        <f t="shared" ref="P6:P7" si="7">N6*$D$8</f>
        <v>7.1088082901554408</v>
      </c>
      <c r="Q6" s="8">
        <v>17</v>
      </c>
      <c r="R6" s="9">
        <v>11</v>
      </c>
      <c r="S6" s="10">
        <v>28</v>
      </c>
      <c r="T6" s="19">
        <f t="shared" ref="T6:T7" si="8">R6/$R$8</f>
        <v>0.33333333333333331</v>
      </c>
      <c r="U6" s="19">
        <f t="shared" ref="U6:U7" si="9">C17</f>
        <v>0.50777202072538863</v>
      </c>
      <c r="V6" s="19">
        <f t="shared" ref="V6:V7" si="10">T6-U6</f>
        <v>-0.17443868739205531</v>
      </c>
      <c r="W6" s="20">
        <f t="shared" ref="W6:W7" si="11">U6*$R$8</f>
        <v>16.756476683937827</v>
      </c>
      <c r="X6" s="8">
        <v>21</v>
      </c>
      <c r="Y6" s="9">
        <v>7</v>
      </c>
      <c r="Z6" s="10">
        <v>27.8</v>
      </c>
      <c r="AA6" s="19">
        <f t="shared" ref="AA6:AA7" si="12">Y6/$Y$8</f>
        <v>0.63636363636363635</v>
      </c>
      <c r="AB6" s="19">
        <f t="shared" ref="AB6:AB7" si="13">C17</f>
        <v>0.50777202072538863</v>
      </c>
      <c r="AC6" s="19">
        <f t="shared" ref="AC6:AC7" si="14">AA6-AB6</f>
        <v>0.12859161563824772</v>
      </c>
      <c r="AD6" s="20">
        <f t="shared" ref="AD6:AD7" si="15">AB6*$Y$8</f>
        <v>5.5854922279792749</v>
      </c>
      <c r="AE6" s="8">
        <v>32</v>
      </c>
      <c r="AF6" s="9">
        <v>9</v>
      </c>
      <c r="AG6" s="10">
        <v>40.700000000000003</v>
      </c>
      <c r="AH6" s="19">
        <f t="shared" ref="AH6:AH7" si="16">AF6/$AF$8</f>
        <v>0.36</v>
      </c>
      <c r="AI6" s="19">
        <f t="shared" ref="AI6:AI7" si="17">C17</f>
        <v>0.50777202072538863</v>
      </c>
      <c r="AJ6" s="19">
        <f t="shared" ref="AJ6:AJ7" si="18">AH6-AI6</f>
        <v>-0.14777202072538864</v>
      </c>
      <c r="AK6" s="20">
        <f t="shared" ref="AK6:AK7" si="19">AI6*$AF$8</f>
        <v>12.694300518134716</v>
      </c>
      <c r="AL6" s="8">
        <v>35</v>
      </c>
      <c r="AM6" s="9">
        <v>11</v>
      </c>
      <c r="AN6" s="10">
        <v>45.7</v>
      </c>
      <c r="AO6" s="19">
        <f t="shared" ref="AO6:AO7" si="20">AM6/$AM$8</f>
        <v>0.28947368421052633</v>
      </c>
      <c r="AP6" s="19">
        <f t="shared" ref="AP6:AP7" si="21">C17</f>
        <v>0.50777202072538863</v>
      </c>
      <c r="AQ6" s="19">
        <f t="shared" ref="AQ6:AQ7" si="22">AO6-AP6</f>
        <v>-0.2182983365148623</v>
      </c>
      <c r="AR6" s="20">
        <f t="shared" ref="AR6:AR7" si="23">AP6*$AM$8</f>
        <v>19.295336787564768</v>
      </c>
      <c r="AS6" s="8">
        <v>45</v>
      </c>
      <c r="AT6" s="9">
        <v>25</v>
      </c>
      <c r="AU6" s="10">
        <v>70.7</v>
      </c>
      <c r="AV6" s="19">
        <f t="shared" ref="AV6:AV7" si="24">AT6/$AT$8</f>
        <v>0.51020408163265307</v>
      </c>
      <c r="AW6" s="19">
        <f t="shared" ref="AW6:AW7" si="25">C17</f>
        <v>0.50777202072538863</v>
      </c>
      <c r="AX6" s="19">
        <f t="shared" ref="AX6:AX7" si="26">AV6-AW6</f>
        <v>2.4320609072644439E-3</v>
      </c>
      <c r="AY6" s="20">
        <f t="shared" ref="AY6:AY7" si="27">AW6*$AT$8</f>
        <v>24.880829015544045</v>
      </c>
      <c r="AZ6" s="8">
        <v>70</v>
      </c>
      <c r="BA6" s="9">
        <v>29</v>
      </c>
      <c r="BB6" s="10">
        <v>98.4</v>
      </c>
      <c r="BC6" s="19">
        <f t="shared" ref="BC6:BC7" si="28">BA6/$BA$8</f>
        <v>1.9333333333333333</v>
      </c>
      <c r="BD6" s="19">
        <f t="shared" ref="BD6:BD7" si="29">C17</f>
        <v>0.50777202072538863</v>
      </c>
      <c r="BE6" s="19">
        <f t="shared" ref="BE6:BE7" si="30">BC6-BD6</f>
        <v>1.4255613126079447</v>
      </c>
      <c r="BF6" s="20">
        <f t="shared" ref="BF6:BF7" si="31">BD6*$BA$8</f>
        <v>7.6165803108808294</v>
      </c>
      <c r="BG6" s="8">
        <v>97</v>
      </c>
      <c r="BH6" s="9">
        <v>19</v>
      </c>
      <c r="BI6" s="10">
        <v>116.1</v>
      </c>
      <c r="BJ6" s="19">
        <f t="shared" ref="BJ6:BJ7" si="32">BH6/$BH$8</f>
        <v>0.6785714285714286</v>
      </c>
      <c r="BK6" s="19">
        <f t="shared" ref="BK6:BK7" si="33">C17</f>
        <v>0.50777202072538863</v>
      </c>
      <c r="BL6" s="19">
        <f t="shared" ref="BL6:BL7" si="34">BJ6-BK6</f>
        <v>0.17079940784603997</v>
      </c>
      <c r="BM6" s="20">
        <f t="shared" ref="BM6:BM7" si="35">BK6*$BH$8</f>
        <v>14.217616580310882</v>
      </c>
      <c r="BN6" s="8">
        <v>115</v>
      </c>
      <c r="BO6" s="9">
        <v>5</v>
      </c>
      <c r="BP6" s="10">
        <v>120.3</v>
      </c>
      <c r="BQ6" s="19">
        <f t="shared" ref="BQ6:BQ7" si="36">BO6/$BO$8</f>
        <v>-0.7142857142857143</v>
      </c>
      <c r="BR6" s="19">
        <f t="shared" ref="BR6:BR7" si="37">C17</f>
        <v>0.50777202072538863</v>
      </c>
      <c r="BS6" s="19">
        <f t="shared" ref="BS6:BS7" si="38">BQ6-BR6</f>
        <v>-1.222057735011103</v>
      </c>
      <c r="BT6" s="20">
        <f t="shared" ref="BT6:BT7" si="39">BR6*$BO$8</f>
        <v>-3.5544041450777204</v>
      </c>
      <c r="BU6" s="8">
        <v>58</v>
      </c>
      <c r="BV6" s="9">
        <v>57</v>
      </c>
      <c r="BW6" s="10">
        <v>115.1</v>
      </c>
      <c r="BX6" s="19">
        <f t="shared" ref="BX6:BX7" si="40">BV6/$BV$8</f>
        <v>1.0961538461538463</v>
      </c>
      <c r="BY6" s="19">
        <f t="shared" ref="BY6:BY7" si="41">C17</f>
        <v>0.50777202072538863</v>
      </c>
      <c r="BZ6" s="19">
        <f t="shared" ref="BZ6:BZ7" si="42">BX6-BY6</f>
        <v>0.58838182542845763</v>
      </c>
      <c r="CA6" s="20">
        <f t="shared" ref="CA6:CA7" si="43">BY6*$BV$8</f>
        <v>26.404145077720209</v>
      </c>
      <c r="CB6" s="8">
        <v>64</v>
      </c>
      <c r="CC6" s="9">
        <v>43</v>
      </c>
      <c r="CD6" s="10">
        <v>106.7</v>
      </c>
      <c r="CE6" s="19">
        <f t="shared" ref="CE6:CE7" si="44">CC6/$CC$8</f>
        <v>1.2647058823529411</v>
      </c>
      <c r="CF6" s="19">
        <f t="shared" ref="CF6:CF7" si="45">C17</f>
        <v>0.50777202072538863</v>
      </c>
      <c r="CG6" s="19">
        <f t="shared" ref="CG6:CG7" si="46">CE6-CF6</f>
        <v>0.7569338616275525</v>
      </c>
      <c r="CH6" s="20">
        <f t="shared" ref="CH6:CH7" si="47">CF6*$CC$8</f>
        <v>17.264248704663213</v>
      </c>
      <c r="CI6" s="8">
        <v>46</v>
      </c>
      <c r="CJ6" s="9">
        <v>53</v>
      </c>
      <c r="CK6" s="10">
        <v>98.3</v>
      </c>
      <c r="CL6" s="19">
        <f t="shared" ref="CL6:CL7" si="48">CJ6/$CJ$8</f>
        <v>1.2045454545454546</v>
      </c>
      <c r="CM6" s="19">
        <f t="shared" ref="CM6:CM7" si="49">C17</f>
        <v>0.50777202072538863</v>
      </c>
      <c r="CN6" s="19">
        <f t="shared" ref="CN6:CN7" si="50">CL6-CM6</f>
        <v>0.69677343382006596</v>
      </c>
      <c r="CO6" s="20">
        <f t="shared" ref="CO6:CO7" si="51">CM6*$CJ$8</f>
        <v>22.3419689119171</v>
      </c>
      <c r="CP6" s="8">
        <v>34</v>
      </c>
      <c r="CQ6" s="9">
        <v>55</v>
      </c>
      <c r="CR6" s="10">
        <v>89.1</v>
      </c>
      <c r="CS6" s="19">
        <f t="shared" ref="CS6:CS7" si="52">CQ6/$CQ$8</f>
        <v>1.3095238095238095</v>
      </c>
      <c r="CT6" s="19">
        <f t="shared" ref="CT6:CT7" si="53">C17</f>
        <v>0.50777202072538863</v>
      </c>
      <c r="CU6" s="19">
        <f t="shared" ref="CU6:CU7" si="54">CS6-CT6</f>
        <v>0.80175178879842091</v>
      </c>
      <c r="CV6" s="20">
        <f t="shared" ref="CV6:CV7" si="55">CT6*$CQ$8</f>
        <v>21.326424870466322</v>
      </c>
      <c r="CW6" s="8">
        <v>66</v>
      </c>
      <c r="CX6" s="9">
        <v>25</v>
      </c>
      <c r="CY6" s="10">
        <v>90.9</v>
      </c>
      <c r="CZ6" s="19">
        <f t="shared" ref="CZ6:CZ7" si="56">CX6/$CX$8</f>
        <v>1.4705882352941178</v>
      </c>
      <c r="DA6" s="19">
        <f t="shared" ref="DA6:DA7" si="57">C17</f>
        <v>0.50777202072538863</v>
      </c>
      <c r="DB6" s="19">
        <f t="shared" ref="DB6:DB7" si="58">CZ6-DA6</f>
        <v>0.96281621456872912</v>
      </c>
      <c r="DC6" s="20">
        <f t="shared" ref="DC6:DC7" si="59">DA6*$CX$8</f>
        <v>8.6321243523316067</v>
      </c>
      <c r="DD6" s="8">
        <v>140</v>
      </c>
      <c r="DE6" s="9">
        <v>-38</v>
      </c>
      <c r="DF6" s="10">
        <v>101.4</v>
      </c>
      <c r="DG6" s="19">
        <f t="shared" ref="DG6:DG7" si="60">DE6/$DE$8</f>
        <v>1.1176470588235294</v>
      </c>
      <c r="DH6" s="19">
        <f t="shared" ref="DH6:DH7" si="61">C17</f>
        <v>0.50777202072538863</v>
      </c>
      <c r="DI6" s="19">
        <f t="shared" ref="DI6:DI7" si="62">DG6-DH6</f>
        <v>0.60987503809814081</v>
      </c>
      <c r="DJ6" s="20">
        <f t="shared" ref="DJ6:DJ7" si="63">DH6*$DE$8</f>
        <v>-17.264248704663213</v>
      </c>
      <c r="DK6" s="8">
        <v>81</v>
      </c>
      <c r="DL6" s="9">
        <v>8</v>
      </c>
      <c r="DM6" s="10">
        <v>88.9</v>
      </c>
      <c r="DN6" s="19">
        <f t="shared" ref="DN6:DN7" si="64">DL6/$DL$8</f>
        <v>1.6</v>
      </c>
      <c r="DO6" s="19">
        <f t="shared" ref="DO6:DO7" si="65">C17</f>
        <v>0.50777202072538863</v>
      </c>
      <c r="DP6" s="19">
        <f t="shared" ref="DP6:DP7" si="66">DN6-DO6</f>
        <v>1.0922279792746115</v>
      </c>
      <c r="DQ6" s="20">
        <f t="shared" ref="DQ6:DQ7" si="67">DO6*$DL$8</f>
        <v>2.5388601036269431</v>
      </c>
      <c r="DR6" s="8">
        <v>68</v>
      </c>
      <c r="DS6" s="9">
        <v>21</v>
      </c>
      <c r="DT6" s="10">
        <v>88.9</v>
      </c>
      <c r="DU6" s="19">
        <f t="shared" ref="DU6:DU7" si="68">DS6/$DS$8</f>
        <v>1.5</v>
      </c>
      <c r="DV6" s="19">
        <f t="shared" ref="DV6:DV7" si="69">C17</f>
        <v>0.50777202072538863</v>
      </c>
      <c r="DW6" s="19">
        <f t="shared" ref="DW6:DW7" si="70">DU6-DV6</f>
        <v>0.99222797927461137</v>
      </c>
      <c r="DX6" s="20">
        <f t="shared" ref="DX6:DX7" si="71">DV6*$DS$8</f>
        <v>7.1088082901554408</v>
      </c>
      <c r="DY6" s="8">
        <v>163</v>
      </c>
      <c r="DZ6" s="9">
        <v>-76</v>
      </c>
      <c r="EA6" s="10">
        <v>86.6</v>
      </c>
      <c r="EB6" s="19">
        <f t="shared" ref="EB6:EB7" si="72">DZ6/$DZ$8</f>
        <v>1.1515151515151516</v>
      </c>
      <c r="EC6" s="19">
        <f t="shared" ref="EC6:EC7" si="73">C17</f>
        <v>0.50777202072538863</v>
      </c>
      <c r="ED6" s="19">
        <f t="shared" ref="ED6:ED7" si="74">EB6-EC6</f>
        <v>0.64374313078976297</v>
      </c>
      <c r="EE6" s="20">
        <f t="shared" ref="EE6:EE7" si="75">EC6*$DZ$8</f>
        <v>-33.512953367875653</v>
      </c>
      <c r="EF6" s="8">
        <v>87</v>
      </c>
      <c r="EG6" s="9">
        <v>5</v>
      </c>
      <c r="EH6" s="10">
        <v>92.3</v>
      </c>
      <c r="EI6" s="19">
        <f t="shared" ref="EI6:EI7" si="76">EG6/$EG$8</f>
        <v>0.5</v>
      </c>
      <c r="EJ6" s="19">
        <f t="shared" ref="EJ6:EJ7" si="77">C17</f>
        <v>0.50777202072538863</v>
      </c>
      <c r="EK6" s="19">
        <f t="shared" ref="EK6:EK7" si="78">EI6-EJ6</f>
        <v>-7.7720207253886286E-3</v>
      </c>
      <c r="EL6" s="20">
        <f t="shared" ref="EL6:EL7" si="79">EJ6*$EG$8</f>
        <v>5.0777202072538863</v>
      </c>
      <c r="EM6" s="8">
        <v>91</v>
      </c>
      <c r="EN6" s="9">
        <v>-14</v>
      </c>
      <c r="EO6" s="10">
        <v>77.5</v>
      </c>
      <c r="EP6" s="19">
        <f t="shared" ref="EP6:EP7" si="80">EN6/$EN$8</f>
        <v>0.5</v>
      </c>
      <c r="EQ6" s="19">
        <f t="shared" ref="EQ6:EQ7" si="81">C17</f>
        <v>0.50777202072538863</v>
      </c>
      <c r="ER6" s="19">
        <f t="shared" ref="ER6:ER7" si="82">EP6-EQ6</f>
        <v>-7.7720207253886286E-3</v>
      </c>
      <c r="ES6" s="20">
        <f t="shared" ref="ES6:ES7" si="83">EQ6*$EN$8</f>
        <v>-14.217616580310882</v>
      </c>
      <c r="ET6" s="8">
        <v>77</v>
      </c>
      <c r="EU6" s="9">
        <v>-9</v>
      </c>
      <c r="EV6" s="10">
        <v>68.2</v>
      </c>
      <c r="EW6" s="19">
        <f t="shared" ref="EW6:EW7" si="84">EU6/$EU$8</f>
        <v>0.47368421052631576</v>
      </c>
      <c r="EX6" s="19">
        <f t="shared" ref="EX6:EX7" si="85">C17</f>
        <v>0.50777202072538863</v>
      </c>
      <c r="EY6" s="19">
        <f t="shared" ref="EY6:EY7" si="86">EW6-EX6</f>
        <v>-3.4087810199072865E-2</v>
      </c>
      <c r="EZ6" s="20">
        <f t="shared" ref="EZ6:EZ7" si="87">EX6*$EU$8</f>
        <v>-9.6476683937823839</v>
      </c>
      <c r="FA6" s="8">
        <v>68</v>
      </c>
      <c r="FB6" s="9">
        <v>10</v>
      </c>
      <c r="FC6" s="10">
        <v>77.7</v>
      </c>
      <c r="FD6" s="19">
        <f t="shared" ref="FD6:FD7" si="88">FB6/$FB$8</f>
        <v>0.52631578947368418</v>
      </c>
      <c r="FE6" s="19">
        <f t="shared" ref="FE6:FE7" si="89">C17</f>
        <v>0.50777202072538863</v>
      </c>
      <c r="FF6" s="19">
        <f t="shared" ref="FF6:FF7" si="90">FD6-FE6</f>
        <v>1.8543768748295553E-2</v>
      </c>
      <c r="FG6" s="20">
        <f t="shared" ref="FG6:FG7" si="91">FE6*$FB$8</f>
        <v>9.6476683937823839</v>
      </c>
      <c r="FH6" s="8">
        <v>29</v>
      </c>
      <c r="FI6" s="9">
        <v>6</v>
      </c>
      <c r="FJ6" s="10">
        <v>34.799999999999997</v>
      </c>
      <c r="FK6" s="19">
        <f t="shared" ref="FK6:FK7" si="92">FI6/$FI$8</f>
        <v>0.46153846153846156</v>
      </c>
      <c r="FL6" s="19">
        <f t="shared" ref="FL6:FL7" si="93">C17</f>
        <v>0.50777202072538863</v>
      </c>
      <c r="FM6" s="19">
        <f t="shared" ref="FM6:FM7" si="94">FK6-FL6</f>
        <v>-4.6233559186927065E-2</v>
      </c>
      <c r="FN6" s="20">
        <f t="shared" ref="FN6:FN7" si="95">FL6*$FI$8</f>
        <v>6.6010362694300522</v>
      </c>
    </row>
    <row r="7" spans="1:170">
      <c r="A7" s="6">
        <v>45964</v>
      </c>
      <c r="B7" s="7" t="s">
        <v>19</v>
      </c>
      <c r="C7" s="8">
        <v>11</v>
      </c>
      <c r="D7" s="9">
        <v>2</v>
      </c>
      <c r="E7" s="10">
        <v>13</v>
      </c>
      <c r="F7" s="19">
        <f t="shared" si="0"/>
        <v>0.14285714285714285</v>
      </c>
      <c r="G7" s="19">
        <f t="shared" si="1"/>
        <v>0.22020725388601037</v>
      </c>
      <c r="H7" s="19">
        <f t="shared" si="2"/>
        <v>-7.7350111028867519E-2</v>
      </c>
      <c r="I7" s="20">
        <f t="shared" si="3"/>
        <v>3.0829015544041454</v>
      </c>
      <c r="J7" s="8">
        <v>13</v>
      </c>
      <c r="K7" s="9">
        <v>10</v>
      </c>
      <c r="L7" s="10">
        <v>22.5</v>
      </c>
      <c r="M7" s="19">
        <f t="shared" si="4"/>
        <v>0.37142857142857144</v>
      </c>
      <c r="N7" s="19">
        <f t="shared" si="5"/>
        <v>0.22020725388601037</v>
      </c>
      <c r="O7" s="19">
        <f t="shared" si="6"/>
        <v>0.15122131754256107</v>
      </c>
      <c r="P7" s="20">
        <f t="shared" si="7"/>
        <v>3.0829015544041454</v>
      </c>
      <c r="Q7" s="8">
        <v>14</v>
      </c>
      <c r="R7" s="9">
        <v>3</v>
      </c>
      <c r="S7" s="10">
        <v>16.8</v>
      </c>
      <c r="T7" s="19">
        <f t="shared" si="8"/>
        <v>9.0909090909090912E-2</v>
      </c>
      <c r="U7" s="19">
        <f t="shared" si="9"/>
        <v>0.22020725388601037</v>
      </c>
      <c r="V7" s="19">
        <f t="shared" si="10"/>
        <v>-0.12929816297691946</v>
      </c>
      <c r="W7" s="20">
        <f t="shared" si="11"/>
        <v>7.266839378238342</v>
      </c>
      <c r="X7" s="8">
        <v>11</v>
      </c>
      <c r="Y7" s="9">
        <v>2</v>
      </c>
      <c r="Z7" s="10">
        <v>12.8</v>
      </c>
      <c r="AA7" s="19">
        <f t="shared" si="12"/>
        <v>0.18181818181818182</v>
      </c>
      <c r="AB7" s="19">
        <f t="shared" si="13"/>
        <v>0.22020725388601037</v>
      </c>
      <c r="AC7" s="19">
        <f t="shared" si="14"/>
        <v>-3.8389072067828545E-2</v>
      </c>
      <c r="AD7" s="20">
        <f t="shared" si="15"/>
        <v>2.4222797927461142</v>
      </c>
      <c r="AE7" s="8">
        <v>17</v>
      </c>
      <c r="AF7" s="9">
        <v>16</v>
      </c>
      <c r="AG7" s="10">
        <v>32.9</v>
      </c>
      <c r="AH7" s="19">
        <f t="shared" si="16"/>
        <v>0.64</v>
      </c>
      <c r="AI7" s="19">
        <f t="shared" si="17"/>
        <v>0.22020725388601037</v>
      </c>
      <c r="AJ7" s="19">
        <f t="shared" si="18"/>
        <v>0.41979274611398965</v>
      </c>
      <c r="AK7" s="20">
        <f t="shared" si="19"/>
        <v>5.5051813471502591</v>
      </c>
      <c r="AL7" s="8">
        <v>33</v>
      </c>
      <c r="AM7" s="9">
        <v>8</v>
      </c>
      <c r="AN7" s="10">
        <v>41</v>
      </c>
      <c r="AO7" s="19">
        <f t="shared" si="20"/>
        <v>0.21052631578947367</v>
      </c>
      <c r="AP7" s="19">
        <f t="shared" si="21"/>
        <v>0.22020725388601037</v>
      </c>
      <c r="AQ7" s="19">
        <f t="shared" si="22"/>
        <v>-9.6809380965366953E-3</v>
      </c>
      <c r="AR7" s="20">
        <f t="shared" si="23"/>
        <v>8.3678756476683933</v>
      </c>
      <c r="AS7" s="8">
        <v>44</v>
      </c>
      <c r="AT7" s="9">
        <v>14</v>
      </c>
      <c r="AU7" s="10">
        <v>57.5</v>
      </c>
      <c r="AV7" s="19">
        <f t="shared" si="24"/>
        <v>0.2857142857142857</v>
      </c>
      <c r="AW7" s="19">
        <f t="shared" si="25"/>
        <v>0.22020725388601037</v>
      </c>
      <c r="AX7" s="19">
        <f t="shared" si="26"/>
        <v>6.5507031828275331E-2</v>
      </c>
      <c r="AY7" s="20">
        <f t="shared" si="27"/>
        <v>10.790155440414509</v>
      </c>
      <c r="AZ7" s="8">
        <v>58</v>
      </c>
      <c r="BA7" s="9">
        <v>-6</v>
      </c>
      <c r="BB7" s="10">
        <v>52.8</v>
      </c>
      <c r="BC7" s="19">
        <f t="shared" si="28"/>
        <v>-0.4</v>
      </c>
      <c r="BD7" s="19">
        <f t="shared" si="29"/>
        <v>0.22020725388601037</v>
      </c>
      <c r="BE7" s="19">
        <f t="shared" si="30"/>
        <v>-0.62020725388601039</v>
      </c>
      <c r="BF7" s="20">
        <f t="shared" si="31"/>
        <v>3.3031088082901556</v>
      </c>
      <c r="BG7" s="8">
        <v>53</v>
      </c>
      <c r="BH7" s="9">
        <v>4</v>
      </c>
      <c r="BI7" s="10">
        <v>57.1</v>
      </c>
      <c r="BJ7" s="19">
        <f t="shared" si="32"/>
        <v>0.14285714285714285</v>
      </c>
      <c r="BK7" s="19">
        <f t="shared" si="33"/>
        <v>0.22020725388601037</v>
      </c>
      <c r="BL7" s="19">
        <f t="shared" si="34"/>
        <v>-7.7350111028867519E-2</v>
      </c>
      <c r="BM7" s="20">
        <f t="shared" si="35"/>
        <v>6.1658031088082907</v>
      </c>
      <c r="BN7" s="8">
        <v>57</v>
      </c>
      <c r="BO7" s="9">
        <v>-5</v>
      </c>
      <c r="BP7" s="10">
        <v>52.2</v>
      </c>
      <c r="BQ7" s="19">
        <f t="shared" si="36"/>
        <v>0.7142857142857143</v>
      </c>
      <c r="BR7" s="19">
        <f t="shared" si="37"/>
        <v>0.22020725388601037</v>
      </c>
      <c r="BS7" s="19">
        <f t="shared" si="38"/>
        <v>0.49407846039970393</v>
      </c>
      <c r="BT7" s="20">
        <f t="shared" si="39"/>
        <v>-1.5414507772020727</v>
      </c>
      <c r="BU7" s="8">
        <v>52</v>
      </c>
      <c r="BV7" s="9">
        <v>-2</v>
      </c>
      <c r="BW7" s="10">
        <v>49.9</v>
      </c>
      <c r="BX7" s="19">
        <f t="shared" si="40"/>
        <v>-3.8461538461538464E-2</v>
      </c>
      <c r="BY7" s="19">
        <f t="shared" si="41"/>
        <v>0.22020725388601037</v>
      </c>
      <c r="BZ7" s="19">
        <f t="shared" si="42"/>
        <v>-0.2586687923475488</v>
      </c>
      <c r="CA7" s="20">
        <f t="shared" si="43"/>
        <v>11.450777202072539</v>
      </c>
      <c r="CB7" s="8">
        <v>50</v>
      </c>
      <c r="CC7" s="9">
        <v>-4</v>
      </c>
      <c r="CD7" s="10">
        <v>46.3</v>
      </c>
      <c r="CE7" s="19">
        <f t="shared" si="44"/>
        <v>-0.11764705882352941</v>
      </c>
      <c r="CF7" s="19">
        <f t="shared" si="45"/>
        <v>0.22020725388601037</v>
      </c>
      <c r="CG7" s="19">
        <f t="shared" si="46"/>
        <v>-0.33785431270953981</v>
      </c>
      <c r="CH7" s="20">
        <f t="shared" si="47"/>
        <v>7.4870466321243523</v>
      </c>
      <c r="CI7" s="8">
        <v>46</v>
      </c>
      <c r="CJ7" s="9">
        <v>-4</v>
      </c>
      <c r="CK7" s="10">
        <v>42.6</v>
      </c>
      <c r="CL7" s="19">
        <f t="shared" si="48"/>
        <v>-9.0909090909090912E-2</v>
      </c>
      <c r="CM7" s="19">
        <f t="shared" si="49"/>
        <v>0.22020725388601037</v>
      </c>
      <c r="CN7" s="19">
        <f t="shared" si="50"/>
        <v>-0.31111634479510131</v>
      </c>
      <c r="CO7" s="20">
        <f t="shared" si="51"/>
        <v>9.6891191709844566</v>
      </c>
      <c r="CP7" s="8">
        <v>46</v>
      </c>
      <c r="CQ7" s="9">
        <v>-8</v>
      </c>
      <c r="CR7" s="10">
        <v>38.6</v>
      </c>
      <c r="CS7" s="19">
        <f t="shared" si="52"/>
        <v>-0.19047619047619047</v>
      </c>
      <c r="CT7" s="19">
        <f t="shared" si="53"/>
        <v>0.22020725388601037</v>
      </c>
      <c r="CU7" s="19">
        <f t="shared" si="54"/>
        <v>-0.41068344436220083</v>
      </c>
      <c r="CV7" s="20">
        <f t="shared" si="55"/>
        <v>9.2487046632124361</v>
      </c>
      <c r="CW7" s="8">
        <v>39</v>
      </c>
      <c r="CX7" s="9">
        <v>-4</v>
      </c>
      <c r="CY7" s="10">
        <v>35.4</v>
      </c>
      <c r="CZ7" s="19">
        <f t="shared" si="56"/>
        <v>-0.23529411764705882</v>
      </c>
      <c r="DA7" s="19">
        <f t="shared" si="57"/>
        <v>0.22020725388601037</v>
      </c>
      <c r="DB7" s="19">
        <f t="shared" si="58"/>
        <v>-0.45550137153306919</v>
      </c>
      <c r="DC7" s="20">
        <f t="shared" si="59"/>
        <v>3.7435233160621761</v>
      </c>
      <c r="DD7" s="8">
        <v>35</v>
      </c>
      <c r="DE7" s="9">
        <v>2</v>
      </c>
      <c r="DF7" s="10">
        <v>37.299999999999997</v>
      </c>
      <c r="DG7" s="19">
        <f t="shared" si="60"/>
        <v>-5.8823529411764705E-2</v>
      </c>
      <c r="DH7" s="19">
        <f t="shared" si="61"/>
        <v>0.22020725388601037</v>
      </c>
      <c r="DI7" s="19">
        <f t="shared" si="62"/>
        <v>-0.27903078329777509</v>
      </c>
      <c r="DJ7" s="20">
        <f t="shared" si="63"/>
        <v>-7.4870466321243523</v>
      </c>
      <c r="DK7" s="8">
        <v>37</v>
      </c>
      <c r="DL7" s="9">
        <v>-1</v>
      </c>
      <c r="DM7" s="10">
        <v>36.4</v>
      </c>
      <c r="DN7" s="19">
        <f t="shared" si="64"/>
        <v>-0.2</v>
      </c>
      <c r="DO7" s="19">
        <f t="shared" si="65"/>
        <v>0.22020725388601037</v>
      </c>
      <c r="DP7" s="19">
        <f t="shared" si="66"/>
        <v>-0.42020725388601038</v>
      </c>
      <c r="DQ7" s="20">
        <f t="shared" si="67"/>
        <v>1.1010362694300517</v>
      </c>
      <c r="DR7" s="8">
        <v>36</v>
      </c>
      <c r="DS7" s="9">
        <v>-3</v>
      </c>
      <c r="DT7" s="10">
        <v>33.299999999999997</v>
      </c>
      <c r="DU7" s="19">
        <f t="shared" si="68"/>
        <v>-0.21428571428571427</v>
      </c>
      <c r="DV7" s="19">
        <f t="shared" si="69"/>
        <v>0.22020725388601037</v>
      </c>
      <c r="DW7" s="19">
        <f t="shared" si="70"/>
        <v>-0.43449296817172467</v>
      </c>
      <c r="DX7" s="20">
        <f t="shared" si="71"/>
        <v>3.0829015544041454</v>
      </c>
      <c r="DY7" s="8">
        <v>33</v>
      </c>
      <c r="DZ7" s="9">
        <v>4</v>
      </c>
      <c r="EA7" s="10">
        <v>37.6</v>
      </c>
      <c r="EB7" s="19">
        <f t="shared" si="72"/>
        <v>-6.0606060606060608E-2</v>
      </c>
      <c r="EC7" s="19">
        <f t="shared" si="73"/>
        <v>0.22020725388601037</v>
      </c>
      <c r="ED7" s="19">
        <f t="shared" si="74"/>
        <v>-0.28081331449207098</v>
      </c>
      <c r="EE7" s="20">
        <f t="shared" si="75"/>
        <v>-14.533678756476684</v>
      </c>
      <c r="EF7" s="8">
        <v>38</v>
      </c>
      <c r="EG7" s="9">
        <v>2</v>
      </c>
      <c r="EH7" s="10">
        <v>40</v>
      </c>
      <c r="EI7" s="19">
        <f t="shared" si="76"/>
        <v>0.2</v>
      </c>
      <c r="EJ7" s="19">
        <f t="shared" si="77"/>
        <v>0.22020725388601037</v>
      </c>
      <c r="EK7" s="19">
        <f t="shared" si="78"/>
        <v>-2.0207253886010357E-2</v>
      </c>
      <c r="EL7" s="20">
        <f t="shared" si="79"/>
        <v>2.2020725388601035</v>
      </c>
      <c r="EM7" s="8">
        <v>40</v>
      </c>
      <c r="EN7" s="9">
        <v>-6</v>
      </c>
      <c r="EO7" s="10">
        <v>33.6</v>
      </c>
      <c r="EP7" s="19">
        <f t="shared" si="80"/>
        <v>0.21428571428571427</v>
      </c>
      <c r="EQ7" s="19">
        <f t="shared" si="81"/>
        <v>0.22020725388601037</v>
      </c>
      <c r="ER7" s="19">
        <f t="shared" si="82"/>
        <v>-5.9215396002960941E-3</v>
      </c>
      <c r="ES7" s="20">
        <f t="shared" si="83"/>
        <v>-6.1658031088082907</v>
      </c>
      <c r="ET7" s="8">
        <v>34</v>
      </c>
      <c r="EU7" s="9">
        <v>-4</v>
      </c>
      <c r="EV7" s="10">
        <v>29.6</v>
      </c>
      <c r="EW7" s="19">
        <f t="shared" si="84"/>
        <v>0.21052631578947367</v>
      </c>
      <c r="EX7" s="19">
        <f t="shared" si="85"/>
        <v>0.22020725388601037</v>
      </c>
      <c r="EY7" s="19">
        <f t="shared" si="86"/>
        <v>-9.6809380965366953E-3</v>
      </c>
      <c r="EZ7" s="20">
        <f t="shared" si="87"/>
        <v>-4.1839378238341967</v>
      </c>
      <c r="FA7" s="8">
        <v>30</v>
      </c>
      <c r="FB7" s="9">
        <v>4</v>
      </c>
      <c r="FC7" s="10">
        <v>33.700000000000003</v>
      </c>
      <c r="FD7" s="19">
        <f t="shared" si="88"/>
        <v>0.21052631578947367</v>
      </c>
      <c r="FE7" s="19">
        <f t="shared" si="89"/>
        <v>0.22020725388601037</v>
      </c>
      <c r="FF7" s="19">
        <f t="shared" si="90"/>
        <v>-9.6809380965366953E-3</v>
      </c>
      <c r="FG7" s="20">
        <f t="shared" si="91"/>
        <v>4.1839378238341967</v>
      </c>
      <c r="FH7" s="8">
        <v>39</v>
      </c>
      <c r="FI7" s="9">
        <v>5</v>
      </c>
      <c r="FJ7" s="10">
        <v>43.8</v>
      </c>
      <c r="FK7" s="19">
        <f t="shared" si="92"/>
        <v>0.38461538461538464</v>
      </c>
      <c r="FL7" s="19">
        <f t="shared" si="93"/>
        <v>0.22020725388601037</v>
      </c>
      <c r="FM7" s="19">
        <f t="shared" si="94"/>
        <v>0.16440813072937427</v>
      </c>
      <c r="FN7" s="20">
        <f t="shared" si="95"/>
        <v>2.8626943005181347</v>
      </c>
    </row>
    <row r="8" spans="1:170">
      <c r="D8" s="33">
        <f>SUM(D5:D7)</f>
        <v>14</v>
      </c>
      <c r="I8" s="35">
        <f>SUM(I5:I7)</f>
        <v>14</v>
      </c>
      <c r="K8" s="33">
        <f t="shared" ref="K8" si="96">SUM(K5:K7)</f>
        <v>35</v>
      </c>
      <c r="P8" s="35">
        <f t="shared" ref="P8" si="97">SUM(P5:P7)</f>
        <v>19.712435233160623</v>
      </c>
      <c r="R8" s="33">
        <f t="shared" ref="R8" si="98">SUM(R5:R7)</f>
        <v>33</v>
      </c>
      <c r="W8" s="35">
        <f t="shared" ref="W8" si="99">SUM(W5:W7)</f>
        <v>33.000000000000007</v>
      </c>
      <c r="Y8" s="33">
        <f t="shared" ref="Y8" si="100">SUM(Y5:Y7)</f>
        <v>11</v>
      </c>
      <c r="AD8" s="35">
        <f t="shared" ref="AD8" si="101">SUM(AD5:AD7)</f>
        <v>11</v>
      </c>
      <c r="AF8" s="33">
        <f t="shared" ref="AF8" si="102">SUM(AF5:AF7)</f>
        <v>25</v>
      </c>
      <c r="AK8" s="35">
        <f t="shared" ref="AK8" si="103">SUM(AK5:AK7)</f>
        <v>25</v>
      </c>
      <c r="AM8" s="33">
        <f t="shared" ref="AM8" si="104">SUM(AM5:AM7)</f>
        <v>38</v>
      </c>
      <c r="AR8" s="35">
        <f t="shared" ref="AR8" si="105">SUM(AR5:AR7)</f>
        <v>38</v>
      </c>
      <c r="AT8" s="33">
        <f t="shared" ref="AT8" si="106">SUM(AT5:AT7)</f>
        <v>49</v>
      </c>
      <c r="AY8" s="35">
        <f t="shared" ref="AY8" si="107">SUM(AY5:AY7)</f>
        <v>49.000000000000007</v>
      </c>
      <c r="BA8" s="33">
        <f t="shared" ref="BA8" si="108">SUM(BA5:BA7)</f>
        <v>15</v>
      </c>
      <c r="BF8" s="35">
        <f t="shared" ref="BF8" si="109">SUM(BF5:BF7)</f>
        <v>15</v>
      </c>
      <c r="BH8" s="33">
        <f t="shared" ref="BH8" si="110">SUM(BH5:BH7)</f>
        <v>28</v>
      </c>
      <c r="BM8" s="35">
        <f t="shared" ref="BM8" si="111">SUM(BM5:BM7)</f>
        <v>28</v>
      </c>
      <c r="BO8" s="33">
        <f t="shared" ref="BO8" si="112">SUM(BO5:BO7)</f>
        <v>-7</v>
      </c>
      <c r="BT8" s="35">
        <f t="shared" ref="BT8" si="113">SUM(BT5:BT7)</f>
        <v>-7</v>
      </c>
      <c r="BV8" s="33">
        <f t="shared" ref="BV8" si="114">SUM(BV5:BV7)</f>
        <v>52</v>
      </c>
      <c r="CA8" s="35">
        <f t="shared" ref="CA8" si="115">SUM(CA5:CA7)</f>
        <v>52</v>
      </c>
      <c r="CC8" s="33">
        <f t="shared" ref="CC8" si="116">SUM(CC5:CC7)</f>
        <v>34</v>
      </c>
      <c r="CH8" s="35">
        <f t="shared" ref="CH8" si="117">SUM(CH5:CH7)</f>
        <v>34</v>
      </c>
      <c r="CJ8" s="33">
        <f t="shared" ref="CJ8" si="118">SUM(CJ5:CJ7)</f>
        <v>44</v>
      </c>
      <c r="CO8" s="35">
        <f t="shared" ref="CO8" si="119">SUM(CO5:CO7)</f>
        <v>44</v>
      </c>
      <c r="CQ8" s="33">
        <f t="shared" ref="CQ8" si="120">SUM(CQ5:CQ7)</f>
        <v>42</v>
      </c>
      <c r="CV8" s="35">
        <f t="shared" ref="CV8" si="121">SUM(CV5:CV7)</f>
        <v>42</v>
      </c>
      <c r="CX8" s="33">
        <f t="shared" ref="CX8" si="122">SUM(CX5:CX7)</f>
        <v>17</v>
      </c>
      <c r="DC8" s="35">
        <f t="shared" ref="DC8" si="123">SUM(DC5:DC7)</f>
        <v>17</v>
      </c>
      <c r="DE8" s="33">
        <f t="shared" ref="DE8" si="124">SUM(DE5:DE7)</f>
        <v>-34</v>
      </c>
      <c r="DJ8" s="35">
        <f t="shared" ref="DJ8" si="125">SUM(DJ5:DJ7)</f>
        <v>-34</v>
      </c>
      <c r="DL8" s="33">
        <f t="shared" ref="DL8" si="126">SUM(DL5:DL7)</f>
        <v>5</v>
      </c>
      <c r="DQ8" s="35">
        <f t="shared" ref="DQ8" si="127">SUM(DQ5:DQ7)</f>
        <v>5</v>
      </c>
      <c r="DS8" s="33">
        <f t="shared" ref="DS8" si="128">SUM(DS5:DS7)</f>
        <v>14</v>
      </c>
      <c r="DX8" s="35">
        <f t="shared" ref="DX8" si="129">SUM(DX5:DX7)</f>
        <v>14</v>
      </c>
      <c r="DZ8" s="33">
        <f t="shared" ref="DZ8" si="130">SUM(DZ5:DZ7)</f>
        <v>-66</v>
      </c>
      <c r="EE8" s="35">
        <f t="shared" ref="EE8" si="131">SUM(EE5:EE7)</f>
        <v>-66.000000000000014</v>
      </c>
      <c r="EG8" s="33">
        <f t="shared" ref="EG8" si="132">SUM(EG5:EG7)</f>
        <v>10</v>
      </c>
      <c r="EL8" s="35">
        <f t="shared" ref="EL8" si="133">SUM(EL5:EL7)</f>
        <v>10</v>
      </c>
      <c r="EN8" s="33">
        <f t="shared" ref="EN8" si="134">SUM(EN5:EN7)</f>
        <v>-28</v>
      </c>
      <c r="ES8" s="35">
        <f t="shared" ref="ES8" si="135">SUM(ES5:ES7)</f>
        <v>-28</v>
      </c>
      <c r="EU8" s="33">
        <f t="shared" ref="EU8" si="136">SUM(EU5:EU7)</f>
        <v>-19</v>
      </c>
      <c r="EZ8" s="35">
        <f t="shared" ref="EZ8" si="137">SUM(EZ5:EZ7)</f>
        <v>-19</v>
      </c>
      <c r="FB8" s="33">
        <f t="shared" ref="FB8" si="138">SUM(FB5:FB7)</f>
        <v>19</v>
      </c>
      <c r="FG8" s="35">
        <f t="shared" ref="FG8" si="139">SUM(FG5:FG7)</f>
        <v>19</v>
      </c>
      <c r="FI8" s="33">
        <f t="shared" ref="FI8" si="140">SUM(FI5:FI7)</f>
        <v>13</v>
      </c>
    </row>
    <row r="10" spans="1:170">
      <c r="A10" s="50" t="s">
        <v>20</v>
      </c>
      <c r="B10" s="50"/>
      <c r="I10" s="38">
        <f>I5-D5</f>
        <v>1.8082901554404147</v>
      </c>
      <c r="P10" s="38">
        <f t="shared" ref="P10" si="141">P5-K5</f>
        <v>-4.4792746113989637</v>
      </c>
      <c r="W10" s="38">
        <f t="shared" ref="W10" si="142">W5-R5</f>
        <v>-10.023316062176166</v>
      </c>
      <c r="AD10" s="38">
        <f t="shared" ref="AD10" si="143">AD5-Y5</f>
        <v>0.99222797927461182</v>
      </c>
      <c r="AK10" s="38">
        <f t="shared" ref="AK10" si="144">AK5-AF5</f>
        <v>6.8005181347150261</v>
      </c>
      <c r="AR10" s="38">
        <f t="shared" ref="AR10" si="145">AR5-AM5</f>
        <v>-8.6632124352331594</v>
      </c>
      <c r="AY10" s="38">
        <f t="shared" ref="AY10" si="146">AY5-AT5</f>
        <v>3.3290155440414519</v>
      </c>
      <c r="BF10" s="38">
        <f t="shared" ref="BF10" si="147">BF5-BA5</f>
        <v>12.080310880829016</v>
      </c>
      <c r="BM10" s="38">
        <f t="shared" ref="BM10" si="148">BM5-BH5</f>
        <v>2.6165803108808294</v>
      </c>
      <c r="BT10" s="38">
        <f t="shared" ref="BT10" si="149">BT5-BO5</f>
        <v>5.0958549222797931</v>
      </c>
      <c r="CA10" s="38">
        <f t="shared" ref="CA10" si="150">CA5-BV5</f>
        <v>17.145077720207254</v>
      </c>
      <c r="CH10" s="38">
        <f t="shared" ref="CH10" si="151">CH5-CC5</f>
        <v>14.248704663212436</v>
      </c>
      <c r="CO10" s="38">
        <f t="shared" ref="CO10" si="152">CO5-CJ5</f>
        <v>16.968911917098445</v>
      </c>
      <c r="CV10" s="38">
        <f t="shared" ref="CV10" si="153">CV5-CQ5</f>
        <v>16.424870466321245</v>
      </c>
      <c r="DC10" s="38">
        <f t="shared" ref="DC10" si="154">DC5-CX5</f>
        <v>8.6243523316062181</v>
      </c>
      <c r="DJ10" s="38">
        <f t="shared" ref="DJ10" si="155">DJ5-DE5</f>
        <v>-11.248704663212436</v>
      </c>
      <c r="DQ10" s="38">
        <f t="shared" ref="DQ10" si="156">DQ5-DL5</f>
        <v>3.3601036269430056</v>
      </c>
      <c r="DX10" s="38">
        <f t="shared" ref="DX10" si="157">DX5-DS5</f>
        <v>7.8082901554404147</v>
      </c>
      <c r="EE10" s="38">
        <f t="shared" ref="EE10" si="158">EE5-DZ5</f>
        <v>-23.953367875647668</v>
      </c>
      <c r="EL10" s="38">
        <f t="shared" ref="EL10" si="159">EL5-EG5</f>
        <v>-0.2797927461139893</v>
      </c>
      <c r="ES10" s="38">
        <f t="shared" ref="ES10" si="160">ES5-EN5</f>
        <v>0.38341968911917057</v>
      </c>
      <c r="EZ10" s="38">
        <f t="shared" ref="EZ10" si="161">EZ5-EU5</f>
        <v>0.83160621761657971</v>
      </c>
      <c r="FG10" s="38">
        <f t="shared" ref="FG10" si="162">FG5-FB5</f>
        <v>0.16839378238342029</v>
      </c>
      <c r="FN10" s="38">
        <f t="shared" ref="FN10" si="163">FN5-FI5</f>
        <v>1.5362694300518136</v>
      </c>
    </row>
    <row r="11" spans="1:170">
      <c r="A11" s="50" t="s">
        <v>21</v>
      </c>
      <c r="B11" s="50"/>
      <c r="I11" s="39">
        <f>J3-C3</f>
        <v>8.3333333333333037E-3</v>
      </c>
      <c r="P11" s="39">
        <f t="shared" ref="P11" si="164">Q3-J3</f>
        <v>2.7777777777778234E-3</v>
      </c>
      <c r="W11" s="39">
        <f t="shared" ref="W11" si="165">X3-Q3</f>
        <v>1.041666666666663E-2</v>
      </c>
      <c r="AD11" s="39">
        <f t="shared" ref="AD11" si="166">AE3-X3</f>
        <v>2.7777777777777679E-3</v>
      </c>
      <c r="AK11" s="39">
        <f t="shared" ref="AK11" si="167">AL3-AE3</f>
        <v>1.1111111111111127E-2</v>
      </c>
      <c r="AR11" s="39">
        <f t="shared" ref="AR11" si="168">AS3-AL3</f>
        <v>1.8749999999999989E-2</v>
      </c>
      <c r="AY11" s="39">
        <f t="shared" ref="AY11" si="169">AZ3-AS3</f>
        <v>2.1527777777777812E-2</v>
      </c>
      <c r="BF11" s="39">
        <f t="shared" ref="BF11" si="170">BG3-AZ3</f>
        <v>8.3333333333333037E-3</v>
      </c>
      <c r="BM11" s="39">
        <f t="shared" ref="BM11" si="171">BN3-BG3</f>
        <v>0.10416666666666669</v>
      </c>
      <c r="BT11" s="39">
        <f t="shared" ref="BT11" si="172">BU3-BN3</f>
        <v>9.7222222222221877E-3</v>
      </c>
      <c r="CA11" s="39">
        <f t="shared" ref="CA11" si="173">CB3-BU3</f>
        <v>1.5972222222222276E-2</v>
      </c>
      <c r="CH11" s="39">
        <f t="shared" ref="CH11" si="174">CI3-CB3</f>
        <v>1.041666666666663E-2</v>
      </c>
      <c r="CO11" s="39">
        <f t="shared" ref="CO11" si="175">CP3-CI3</f>
        <v>4.1666666666666519E-3</v>
      </c>
      <c r="CV11" s="39">
        <f>CW3-CP3</f>
        <v>5.5555555555555358E-3</v>
      </c>
      <c r="DC11" s="39">
        <f t="shared" ref="DC11" si="176">DD3-CW3</f>
        <v>1.3888888888888951E-2</v>
      </c>
      <c r="DJ11" s="39">
        <f t="shared" ref="DJ11" si="177">DK3-DD3</f>
        <v>6.1111111111111116E-2</v>
      </c>
      <c r="DQ11" s="39">
        <f t="shared" ref="DQ11" si="178">DR3-DK3</f>
        <v>2.9861111111111116E-2</v>
      </c>
      <c r="DX11" s="39">
        <f t="shared" ref="DX11" si="179">DY3-DR3</f>
        <v>1.3194444444444398E-2</v>
      </c>
      <c r="EE11" s="39">
        <f t="shared" ref="EE11" si="180">EF3-DY3</f>
        <v>1.3194444444444509E-2</v>
      </c>
      <c r="EL11" s="39">
        <f t="shared" ref="EL11" si="181">EM3-EF3</f>
        <v>2.4305555555555469E-2</v>
      </c>
      <c r="ES11" s="39">
        <f t="shared" ref="ES11" si="182">ET3-EM3</f>
        <v>1.1805555555555625E-2</v>
      </c>
      <c r="EZ11" s="39">
        <f t="shared" ref="EZ11" si="183">FA3-ET3</f>
        <v>1.5277777777777724E-2</v>
      </c>
      <c r="FG11" s="39">
        <f t="shared" ref="FG11" si="184">FH3-FA3</f>
        <v>5.4166666666666696E-2</v>
      </c>
      <c r="FN11" s="39">
        <f>FO3-FN3</f>
        <v>0</v>
      </c>
    </row>
    <row r="12" spans="1:170">
      <c r="A12" s="36" t="s">
        <v>1</v>
      </c>
      <c r="B12" s="36">
        <f>SUM(I12:FN12)</f>
        <v>3.8664303876415024E-3</v>
      </c>
      <c r="I12" s="40">
        <f>(I10*I11)/60</f>
        <v>2.5115141047783447E-4</v>
      </c>
      <c r="P12" s="40">
        <f t="shared" ref="P12" si="185">(P10*P11)/60</f>
        <v>-2.0737382460180728E-4</v>
      </c>
      <c r="W12" s="40">
        <f t="shared" ref="W12" si="186">(W10*W11)/60</f>
        <v>-1.7401590385722448E-3</v>
      </c>
      <c r="AD12" s="40">
        <f t="shared" ref="AD12" si="187">(AD10*AD11)/60</f>
        <v>4.5936480521972604E-5</v>
      </c>
      <c r="AK12" s="40">
        <f t="shared" ref="AK12" si="188">(AK10*AK11)/60</f>
        <v>1.2593552101324141E-3</v>
      </c>
      <c r="AR12" s="40">
        <f t="shared" ref="AR12" si="189">(AR10*AR11)/60</f>
        <v>-2.7072538860103607E-3</v>
      </c>
      <c r="AY12" s="40">
        <f t="shared" ref="AY12" si="190">(AY10*AY11)/60</f>
        <v>1.1944384475148747E-3</v>
      </c>
      <c r="BF12" s="40">
        <f t="shared" ref="BF12" si="191">(BF10*BF11)/60</f>
        <v>1.6778209556706908E-3</v>
      </c>
      <c r="BM12" s="40">
        <f t="shared" ref="BM12" si="192">(BM10*BM11)/60</f>
        <v>4.5426741508347744E-3</v>
      </c>
      <c r="BT12" s="40">
        <f t="shared" ref="BT12" si="193">(BT10*BT11)/60</f>
        <v>8.2571723277681541E-4</v>
      </c>
      <c r="CA12" s="40">
        <f t="shared" ref="CA12" si="194">(CA10*CA11)/60</f>
        <v>4.5640831894070396E-3</v>
      </c>
      <c r="CH12" s="40">
        <f t="shared" ref="CH12" si="195">(CH10*CH11)/60</f>
        <v>2.4737334484743728E-3</v>
      </c>
      <c r="CO12" s="40">
        <f t="shared" ref="CO12" si="196">(CO10*CO11)/60</f>
        <v>1.17839666090961E-3</v>
      </c>
      <c r="CV12" s="40">
        <f t="shared" ref="CV12" si="197">(CV10*CV11)/60</f>
        <v>1.5208213394741839E-3</v>
      </c>
      <c r="DC12" s="40">
        <f t="shared" ref="DC12" si="198">(DC10*DC11)/60</f>
        <v>1.9963778545384852E-3</v>
      </c>
      <c r="DJ12" s="40">
        <f t="shared" ref="DJ12" si="199">(DJ10*DJ11)/60</f>
        <v>-1.1457014008827482E-2</v>
      </c>
      <c r="DQ12" s="40">
        <f t="shared" ref="DQ12" si="200">(DQ10*DQ11)/60</f>
        <v>1.6722737958165424E-3</v>
      </c>
      <c r="DX12" s="40">
        <f t="shared" ref="DX12" si="201">(DX10*DX11)/60</f>
        <v>1.7171008443676778E-3</v>
      </c>
      <c r="EE12" s="40">
        <f t="shared" ref="EE12" si="202">(EE10*EE11)/60</f>
        <v>-5.2675230282095828E-3</v>
      </c>
      <c r="EL12" s="40">
        <f t="shared" ref="EL12" si="203">(EL10*EL11)/60</f>
        <v>-1.1334196891191656E-4</v>
      </c>
      <c r="ES12" s="40">
        <f t="shared" ref="ES12" si="204">(ES10*ES11)/60</f>
        <v>7.544137401650391E-5</v>
      </c>
      <c r="EZ12" s="40">
        <f t="shared" ref="EZ12" si="205">(EZ10*EZ11)/60</f>
        <v>2.1175158318940612E-4</v>
      </c>
      <c r="FG12" s="40">
        <f t="shared" ref="FG12" si="206">(FG10*FG11)/60</f>
        <v>1.5202216465169896E-4</v>
      </c>
      <c r="FN12" s="40">
        <f t="shared" ref="FN12" si="207">(FN10*FN11)/60</f>
        <v>0</v>
      </c>
    </row>
    <row r="13" spans="1:170">
      <c r="A13" t="s">
        <v>2</v>
      </c>
      <c r="B13" s="37">
        <v>80</v>
      </c>
    </row>
    <row r="14" spans="1:170">
      <c r="A14" t="s">
        <v>3</v>
      </c>
      <c r="B14" s="37">
        <f>B12*B13</f>
        <v>0.30931443101132017</v>
      </c>
    </row>
    <row r="15" spans="1:170" ht="30">
      <c r="A15" s="22" t="s">
        <v>22</v>
      </c>
      <c r="B15" s="23" t="s">
        <v>23</v>
      </c>
      <c r="C15" s="22" t="s">
        <v>24</v>
      </c>
    </row>
    <row r="16" spans="1:170">
      <c r="A16" s="24">
        <v>105</v>
      </c>
      <c r="B16" s="25" t="s">
        <v>17</v>
      </c>
      <c r="C16" s="26">
        <f>A16/$A$19</f>
        <v>0.27202072538860106</v>
      </c>
    </row>
    <row r="17" spans="1:3">
      <c r="A17" s="24">
        <v>196</v>
      </c>
      <c r="B17" s="25" t="s">
        <v>18</v>
      </c>
      <c r="C17" s="26">
        <f t="shared" ref="C17:C18" si="208">A17/$A$19</f>
        <v>0.50777202072538863</v>
      </c>
    </row>
    <row r="18" spans="1:3">
      <c r="A18" s="24">
        <v>85</v>
      </c>
      <c r="B18" s="25" t="s">
        <v>19</v>
      </c>
      <c r="C18" s="26">
        <f t="shared" si="208"/>
        <v>0.22020725388601037</v>
      </c>
    </row>
    <row r="19" spans="1:3">
      <c r="A19" s="27">
        <f>SUM(A16:A18)</f>
        <v>386</v>
      </c>
      <c r="B19" s="28"/>
      <c r="C19" s="29"/>
    </row>
    <row r="114" spans="3:26">
      <c r="C114" s="17">
        <v>0.31111111111111112</v>
      </c>
      <c r="D114" s="17">
        <v>0.31944444444444442</v>
      </c>
      <c r="E114" s="17">
        <v>0.32222222222222224</v>
      </c>
      <c r="F114" s="17">
        <v>0.33263888888888887</v>
      </c>
      <c r="G114" s="17">
        <v>0.33541666666666664</v>
      </c>
      <c r="H114" s="17">
        <v>0.34652777777777777</v>
      </c>
      <c r="I114" s="17">
        <v>0.36527777777777776</v>
      </c>
      <c r="J114" s="17">
        <v>0.38680555555555557</v>
      </c>
      <c r="K114" s="17">
        <v>0.39513888888888887</v>
      </c>
      <c r="L114" s="17">
        <v>0.49930555555555556</v>
      </c>
      <c r="M114" s="17">
        <v>0.50902777777777775</v>
      </c>
      <c r="N114" s="17">
        <v>0.52500000000000002</v>
      </c>
      <c r="O114" s="17">
        <v>0.53541666666666665</v>
      </c>
      <c r="P114" s="17">
        <v>0.5395833333333333</v>
      </c>
      <c r="Q114" s="17">
        <v>0.54513888888888884</v>
      </c>
      <c r="R114" s="17">
        <v>0.55902777777777779</v>
      </c>
      <c r="S114" s="17">
        <v>0.62013888888888891</v>
      </c>
      <c r="T114" s="17">
        <v>0.65</v>
      </c>
      <c r="U114" s="17">
        <v>0.66319444444444442</v>
      </c>
      <c r="V114" s="17">
        <v>0.67638888888888893</v>
      </c>
      <c r="W114" s="17">
        <v>0.7006944444444444</v>
      </c>
      <c r="X114" s="17">
        <v>0.71250000000000002</v>
      </c>
      <c r="Y114" s="17">
        <v>0.72777777777777775</v>
      </c>
      <c r="Z114" s="17">
        <v>0.78194444444444444</v>
      </c>
    </row>
    <row r="115" spans="3:26">
      <c r="C115" s="33">
        <f>E5</f>
        <v>14.6</v>
      </c>
      <c r="D115" s="33">
        <f>L5</f>
        <v>28.7</v>
      </c>
      <c r="E115" s="33">
        <f>S5</f>
        <v>36.1</v>
      </c>
      <c r="F115" s="33">
        <f>Z5</f>
        <v>15.4</v>
      </c>
      <c r="G115" s="33">
        <f>AG5</f>
        <v>35.9</v>
      </c>
      <c r="H115" s="33">
        <f>AN5</f>
        <v>54.9</v>
      </c>
      <c r="I115" s="33">
        <f>AU5</f>
        <v>74.5</v>
      </c>
      <c r="J115" s="33">
        <f>BB5</f>
        <v>67.2</v>
      </c>
      <c r="K115" s="33">
        <f>BI5</f>
        <v>72.7</v>
      </c>
      <c r="L115" s="33">
        <f>BP5</f>
        <v>66.3</v>
      </c>
      <c r="M115" s="33">
        <f>BW5</f>
        <v>63.5</v>
      </c>
      <c r="N115" s="33">
        <f>CD5</f>
        <v>58.9</v>
      </c>
      <c r="O115" s="33">
        <f>CK5</f>
        <v>54.2</v>
      </c>
      <c r="P115" s="33">
        <f>CR5</f>
        <v>49.1</v>
      </c>
      <c r="Q115" s="33">
        <f>CY5</f>
        <v>45.1</v>
      </c>
      <c r="R115" s="33">
        <f>DF5</f>
        <v>47.5</v>
      </c>
      <c r="S115" s="33">
        <f>DM5</f>
        <v>46.3</v>
      </c>
      <c r="T115" s="33">
        <f>DT5</f>
        <v>42.4</v>
      </c>
      <c r="U115" s="33">
        <f>EA5</f>
        <v>47.8</v>
      </c>
      <c r="V115" s="33">
        <f>EH5</f>
        <v>50.9</v>
      </c>
      <c r="W115" s="33">
        <f>EO5</f>
        <v>42.7</v>
      </c>
      <c r="X115" s="33">
        <f>EV5</f>
        <v>37.6</v>
      </c>
      <c r="Y115" s="33">
        <f>FC5</f>
        <v>42.9</v>
      </c>
      <c r="Z115" s="33">
        <f>FJ5</f>
        <v>54</v>
      </c>
    </row>
    <row r="116" spans="3:26">
      <c r="C116" s="33">
        <f>E6</f>
        <v>21.7</v>
      </c>
      <c r="D116" s="33">
        <f>L6</f>
        <v>32.1</v>
      </c>
      <c r="E116" s="33">
        <f>S6</f>
        <v>28</v>
      </c>
      <c r="F116" s="33">
        <f>Z6</f>
        <v>27.8</v>
      </c>
      <c r="G116" s="33">
        <f>AG6</f>
        <v>40.700000000000003</v>
      </c>
      <c r="H116" s="33">
        <f>AN6</f>
        <v>45.7</v>
      </c>
      <c r="I116" s="33">
        <f>AU6</f>
        <v>70.7</v>
      </c>
      <c r="J116" s="33">
        <f>BB6</f>
        <v>98.4</v>
      </c>
      <c r="K116" s="33">
        <f>BI6</f>
        <v>116.1</v>
      </c>
      <c r="L116" s="33">
        <f>BP6</f>
        <v>120.3</v>
      </c>
      <c r="M116" s="33">
        <f>BW6</f>
        <v>115.1</v>
      </c>
      <c r="N116" s="33">
        <f>CD6</f>
        <v>106.7</v>
      </c>
      <c r="O116" s="33">
        <f>CK6</f>
        <v>98.3</v>
      </c>
      <c r="P116" s="33">
        <f>CR6</f>
        <v>89.1</v>
      </c>
      <c r="Q116" s="33">
        <f>CY6</f>
        <v>90.9</v>
      </c>
      <c r="R116" s="33">
        <f>DF6</f>
        <v>101.4</v>
      </c>
      <c r="S116" s="33">
        <f>DM6</f>
        <v>88.9</v>
      </c>
      <c r="T116" s="33">
        <f>DT6</f>
        <v>88.9</v>
      </c>
      <c r="U116" s="33">
        <f>EA6</f>
        <v>86.6</v>
      </c>
      <c r="V116" s="33">
        <f>EH6</f>
        <v>92.3</v>
      </c>
      <c r="W116" s="33">
        <f>EO6</f>
        <v>77.5</v>
      </c>
      <c r="X116" s="33">
        <f>EV6</f>
        <v>68.2</v>
      </c>
      <c r="Y116" s="33">
        <f>FC6</f>
        <v>77.7</v>
      </c>
      <c r="Z116" s="33">
        <f>FJ6</f>
        <v>34.799999999999997</v>
      </c>
    </row>
    <row r="117" spans="3:26">
      <c r="C117" s="33">
        <f>E7</f>
        <v>13</v>
      </c>
      <c r="D117" s="33">
        <f>L7</f>
        <v>22.5</v>
      </c>
      <c r="E117" s="33">
        <f>S7</f>
        <v>16.8</v>
      </c>
      <c r="F117" s="33">
        <f>Z7</f>
        <v>12.8</v>
      </c>
      <c r="G117" s="33">
        <f>AG7</f>
        <v>32.9</v>
      </c>
      <c r="H117" s="33">
        <f>AN7</f>
        <v>41</v>
      </c>
      <c r="I117" s="33">
        <f>AU7</f>
        <v>57.5</v>
      </c>
      <c r="J117" s="33">
        <f>BB7</f>
        <v>52.8</v>
      </c>
      <c r="K117" s="33">
        <f>BI7</f>
        <v>57.1</v>
      </c>
      <c r="L117" s="33">
        <f>BP7</f>
        <v>52.2</v>
      </c>
      <c r="M117" s="33">
        <f>BW7</f>
        <v>49.9</v>
      </c>
      <c r="N117" s="33">
        <f>CD7</f>
        <v>46.3</v>
      </c>
      <c r="O117" s="33">
        <f>CK7</f>
        <v>42.6</v>
      </c>
      <c r="P117" s="33">
        <f>CR7</f>
        <v>38.6</v>
      </c>
      <c r="Q117" s="33">
        <f>CY7</f>
        <v>35.4</v>
      </c>
      <c r="R117" s="33">
        <f>DF7</f>
        <v>37.299999999999997</v>
      </c>
      <c r="S117" s="33">
        <f>DM7</f>
        <v>36.4</v>
      </c>
      <c r="T117" s="33">
        <f>DT7</f>
        <v>33.299999999999997</v>
      </c>
      <c r="U117" s="33">
        <f>EA7</f>
        <v>37.6</v>
      </c>
      <c r="V117" s="33">
        <f>EH7</f>
        <v>40</v>
      </c>
      <c r="W117" s="33">
        <f>EO7</f>
        <v>33.6</v>
      </c>
      <c r="X117" s="33">
        <f>EV7</f>
        <v>29.6</v>
      </c>
      <c r="Y117" s="33">
        <f>FC7</f>
        <v>33.700000000000003</v>
      </c>
      <c r="Z117" s="33">
        <f>FJ7</f>
        <v>43.8</v>
      </c>
    </row>
  </sheetData>
  <mergeCells count="28">
    <mergeCell ref="FA3:FG3"/>
    <mergeCell ref="FH3:FN3"/>
    <mergeCell ref="DD3:DJ3"/>
    <mergeCell ref="B3:B4"/>
    <mergeCell ref="CB3:CD3"/>
    <mergeCell ref="ET3:EZ3"/>
    <mergeCell ref="X3:AD3"/>
    <mergeCell ref="AE3:AK3"/>
    <mergeCell ref="AL3:AR3"/>
    <mergeCell ref="BG3:BM3"/>
    <mergeCell ref="AZ3:BF3"/>
    <mergeCell ref="AS3:AY3"/>
    <mergeCell ref="A10:B10"/>
    <mergeCell ref="A11:B11"/>
    <mergeCell ref="A3:A4"/>
    <mergeCell ref="DR3:DT3"/>
    <mergeCell ref="EM3:ES3"/>
    <mergeCell ref="EF3:EL3"/>
    <mergeCell ref="DY3:EE3"/>
    <mergeCell ref="DK3:DQ3"/>
    <mergeCell ref="CW3:DC3"/>
    <mergeCell ref="CP3:CV3"/>
    <mergeCell ref="CI3:CO3"/>
    <mergeCell ref="BU3:CA3"/>
    <mergeCell ref="BN3:BT3"/>
    <mergeCell ref="C3:I3"/>
    <mergeCell ref="J3:P3"/>
    <mergeCell ref="Q3:W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G117"/>
  <sheetViews>
    <sheetView zoomScale="90" zoomScaleNormal="90" workbookViewId="0">
      <selection activeCell="C4" sqref="C4"/>
    </sheetView>
  </sheetViews>
  <sheetFormatPr defaultColWidth="9.140625" defaultRowHeight="15"/>
  <cols>
    <col min="1" max="1" width="15" customWidth="1"/>
    <col min="2" max="2" width="25" customWidth="1"/>
    <col min="3" max="159" width="14" customWidth="1"/>
    <col min="163" max="163" width="12.140625" customWidth="1"/>
  </cols>
  <sheetData>
    <row r="1" spans="1:163" ht="27" customHeight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</row>
    <row r="2" spans="1:163" ht="27" customHeight="1" thickBot="1">
      <c r="A2" s="2"/>
    </row>
    <row r="3" spans="1:163" ht="16.5" thickBot="1">
      <c r="A3" s="63" t="s">
        <v>5</v>
      </c>
      <c r="B3" s="64" t="s">
        <v>6</v>
      </c>
      <c r="C3" s="55">
        <v>0.30208333333333331</v>
      </c>
      <c r="D3" s="56"/>
      <c r="E3" s="56"/>
      <c r="F3" s="56"/>
      <c r="G3" s="56"/>
      <c r="H3" s="56"/>
      <c r="I3" s="57"/>
      <c r="J3" s="52">
        <v>0.33124999999999999</v>
      </c>
      <c r="K3" s="53"/>
      <c r="L3" s="53"/>
      <c r="M3" s="53"/>
      <c r="N3" s="53"/>
      <c r="O3" s="53"/>
      <c r="P3" s="54"/>
      <c r="Q3" s="55">
        <v>0.33611111111111114</v>
      </c>
      <c r="R3" s="56"/>
      <c r="S3" s="56"/>
      <c r="T3" s="56"/>
      <c r="U3" s="56"/>
      <c r="V3" s="56"/>
      <c r="W3" s="57"/>
      <c r="X3" s="52">
        <v>0.33958333333333335</v>
      </c>
      <c r="Y3" s="53"/>
      <c r="Z3" s="53"/>
      <c r="AA3" s="53"/>
      <c r="AB3" s="53"/>
      <c r="AC3" s="53"/>
      <c r="AD3" s="54"/>
      <c r="AE3" s="55">
        <v>0.34652777777777777</v>
      </c>
      <c r="AF3" s="56"/>
      <c r="AG3" s="56"/>
      <c r="AH3" s="56"/>
      <c r="AI3" s="56"/>
      <c r="AJ3" s="56"/>
      <c r="AK3" s="57"/>
      <c r="AL3" s="55">
        <v>0.35694444444444445</v>
      </c>
      <c r="AM3" s="56"/>
      <c r="AN3" s="56"/>
      <c r="AO3" s="56"/>
      <c r="AP3" s="56"/>
      <c r="AQ3" s="56"/>
      <c r="AR3" s="57"/>
      <c r="AS3" s="52">
        <v>0.37222222222222223</v>
      </c>
      <c r="AT3" s="53"/>
      <c r="AU3" s="53"/>
      <c r="AV3" s="53"/>
      <c r="AW3" s="53"/>
      <c r="AX3" s="53"/>
      <c r="AY3" s="54"/>
      <c r="AZ3" s="60">
        <v>0.37847222222222221</v>
      </c>
      <c r="BA3" s="61"/>
      <c r="BB3" s="61"/>
      <c r="BC3" s="61"/>
      <c r="BD3" s="61"/>
      <c r="BE3" s="61"/>
      <c r="BF3" s="62"/>
      <c r="BG3" s="52">
        <v>0.40138888888888891</v>
      </c>
      <c r="BH3" s="53"/>
      <c r="BI3" s="53"/>
      <c r="BJ3" s="53"/>
      <c r="BK3" s="53"/>
      <c r="BL3" s="53"/>
      <c r="BM3" s="54"/>
      <c r="BN3" s="60">
        <v>0.42083333333333334</v>
      </c>
      <c r="BO3" s="61"/>
      <c r="BP3" s="61"/>
      <c r="BQ3" s="61"/>
      <c r="BR3" s="61"/>
      <c r="BS3" s="61"/>
      <c r="BT3" s="62"/>
      <c r="BU3" s="52">
        <v>0.47361111111111109</v>
      </c>
      <c r="BV3" s="53"/>
      <c r="BW3" s="53"/>
      <c r="BX3" s="53"/>
      <c r="BY3" s="53"/>
      <c r="BZ3" s="53"/>
      <c r="CA3" s="54"/>
      <c r="CB3" s="51">
        <v>0.51180555555555551</v>
      </c>
      <c r="CC3" s="65"/>
      <c r="CD3" s="66"/>
      <c r="CE3" s="16"/>
      <c r="CF3" s="16"/>
      <c r="CG3" s="16"/>
      <c r="CH3" s="16"/>
      <c r="CI3" s="52">
        <v>0.57222222222222219</v>
      </c>
      <c r="CJ3" s="53"/>
      <c r="CK3" s="53"/>
      <c r="CL3" s="53"/>
      <c r="CM3" s="53"/>
      <c r="CN3" s="53"/>
      <c r="CO3" s="54"/>
      <c r="CP3" s="60">
        <v>0.59027777777777779</v>
      </c>
      <c r="CQ3" s="61"/>
      <c r="CR3" s="61"/>
      <c r="CS3" s="61"/>
      <c r="CT3" s="61"/>
      <c r="CU3" s="61"/>
      <c r="CV3" s="62"/>
      <c r="CW3" s="52">
        <v>0.59791666666666665</v>
      </c>
      <c r="CX3" s="53"/>
      <c r="CY3" s="53"/>
      <c r="CZ3" s="53"/>
      <c r="DA3" s="53"/>
      <c r="DB3" s="53"/>
      <c r="DC3" s="54"/>
      <c r="DD3" s="60">
        <v>0.61319444444444449</v>
      </c>
      <c r="DE3" s="61"/>
      <c r="DF3" s="61"/>
      <c r="DG3" s="61"/>
      <c r="DH3" s="61"/>
      <c r="DI3" s="61"/>
      <c r="DJ3" s="62"/>
      <c r="DK3" s="52">
        <v>0.67777777777777781</v>
      </c>
      <c r="DL3" s="53"/>
      <c r="DM3" s="53"/>
      <c r="DN3" s="53"/>
      <c r="DO3" s="53"/>
      <c r="DP3" s="53"/>
      <c r="DQ3" s="54"/>
      <c r="DR3" s="51">
        <v>0.6875</v>
      </c>
      <c r="DS3" s="65"/>
      <c r="DT3" s="66"/>
      <c r="DU3" s="16"/>
      <c r="DV3" s="16"/>
      <c r="DW3" s="16"/>
      <c r="DX3" s="16"/>
      <c r="DY3" s="52">
        <v>0.71944444444444444</v>
      </c>
      <c r="DZ3" s="53"/>
      <c r="EA3" s="53"/>
      <c r="EB3" s="53"/>
      <c r="EC3" s="53"/>
      <c r="ED3" s="53"/>
      <c r="EE3" s="54"/>
      <c r="EF3" s="60">
        <v>0.73055555555555551</v>
      </c>
      <c r="EG3" s="61"/>
      <c r="EH3" s="61"/>
      <c r="EI3" s="61"/>
      <c r="EJ3" s="61"/>
      <c r="EK3" s="61"/>
      <c r="EL3" s="62"/>
      <c r="EM3" s="52">
        <v>0.75</v>
      </c>
      <c r="EN3" s="53"/>
      <c r="EO3" s="53"/>
      <c r="EP3" s="53"/>
      <c r="EQ3" s="53"/>
      <c r="ER3" s="53"/>
      <c r="ES3" s="54"/>
      <c r="ET3" s="60">
        <v>0.77916666666666667</v>
      </c>
      <c r="EU3" s="61"/>
      <c r="EV3" s="61"/>
      <c r="EW3" s="61"/>
      <c r="EX3" s="61"/>
      <c r="EY3" s="61"/>
      <c r="EZ3" s="62"/>
      <c r="FA3" s="52">
        <v>0.78541666666666665</v>
      </c>
      <c r="FB3" s="53"/>
      <c r="FC3" s="53"/>
      <c r="FD3" s="53"/>
      <c r="FE3" s="53"/>
      <c r="FF3" s="53"/>
      <c r="FG3" s="54"/>
    </row>
    <row r="4" spans="1:163" ht="77.25" thickBot="1">
      <c r="A4" s="68"/>
      <c r="B4" s="68"/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1" t="s">
        <v>7</v>
      </c>
      <c r="K4" s="31" t="s">
        <v>8</v>
      </c>
      <c r="L4" s="31" t="s">
        <v>9</v>
      </c>
      <c r="M4" s="32" t="s">
        <v>10</v>
      </c>
      <c r="N4" s="32" t="s">
        <v>11</v>
      </c>
      <c r="O4" s="32" t="s">
        <v>12</v>
      </c>
      <c r="P4" s="32" t="s">
        <v>13</v>
      </c>
      <c r="Q4" s="34" t="s">
        <v>7</v>
      </c>
      <c r="R4" s="34" t="s">
        <v>8</v>
      </c>
      <c r="S4" s="34" t="s">
        <v>9</v>
      </c>
      <c r="T4" s="30" t="s">
        <v>10</v>
      </c>
      <c r="U4" s="30" t="s">
        <v>11</v>
      </c>
      <c r="V4" s="30" t="s">
        <v>12</v>
      </c>
      <c r="W4" s="30" t="s">
        <v>13</v>
      </c>
      <c r="X4" s="31" t="s">
        <v>7</v>
      </c>
      <c r="Y4" s="31" t="s">
        <v>8</v>
      </c>
      <c r="Z4" s="31" t="s">
        <v>9</v>
      </c>
      <c r="AA4" s="32" t="s">
        <v>10</v>
      </c>
      <c r="AB4" s="32" t="s">
        <v>11</v>
      </c>
      <c r="AC4" s="32" t="s">
        <v>12</v>
      </c>
      <c r="AD4" s="32" t="s">
        <v>13</v>
      </c>
      <c r="AE4" s="34" t="s">
        <v>7</v>
      </c>
      <c r="AF4" s="34" t="s">
        <v>8</v>
      </c>
      <c r="AG4" s="34" t="s">
        <v>9</v>
      </c>
      <c r="AH4" s="30" t="s">
        <v>10</v>
      </c>
      <c r="AI4" s="30" t="s">
        <v>11</v>
      </c>
      <c r="AJ4" s="30" t="s">
        <v>12</v>
      </c>
      <c r="AK4" s="30" t="s">
        <v>13</v>
      </c>
      <c r="AL4" s="30" t="s">
        <v>7</v>
      </c>
      <c r="AM4" s="30" t="s">
        <v>8</v>
      </c>
      <c r="AN4" s="30" t="s">
        <v>9</v>
      </c>
      <c r="AO4" s="30" t="s">
        <v>10</v>
      </c>
      <c r="AP4" s="30" t="s">
        <v>11</v>
      </c>
      <c r="AQ4" s="30" t="s">
        <v>12</v>
      </c>
      <c r="AR4" s="30" t="s">
        <v>13</v>
      </c>
      <c r="AS4" s="31" t="s">
        <v>7</v>
      </c>
      <c r="AT4" s="31" t="s">
        <v>8</v>
      </c>
      <c r="AU4" s="31" t="s">
        <v>9</v>
      </c>
      <c r="AV4" s="32" t="s">
        <v>10</v>
      </c>
      <c r="AW4" s="32" t="s">
        <v>11</v>
      </c>
      <c r="AX4" s="32" t="s">
        <v>12</v>
      </c>
      <c r="AY4" s="32" t="s">
        <v>13</v>
      </c>
      <c r="AZ4" s="30" t="s">
        <v>7</v>
      </c>
      <c r="BA4" s="30" t="s">
        <v>8</v>
      </c>
      <c r="BB4" s="30" t="s">
        <v>9</v>
      </c>
      <c r="BC4" s="30" t="s">
        <v>10</v>
      </c>
      <c r="BD4" s="30" t="s">
        <v>11</v>
      </c>
      <c r="BE4" s="30" t="s">
        <v>12</v>
      </c>
      <c r="BF4" s="30" t="s">
        <v>13</v>
      </c>
      <c r="BG4" s="31" t="s">
        <v>7</v>
      </c>
      <c r="BH4" s="31" t="s">
        <v>8</v>
      </c>
      <c r="BI4" s="31" t="s">
        <v>9</v>
      </c>
      <c r="BJ4" s="32" t="s">
        <v>10</v>
      </c>
      <c r="BK4" s="32" t="s">
        <v>11</v>
      </c>
      <c r="BL4" s="32" t="s">
        <v>12</v>
      </c>
      <c r="BM4" s="32" t="s">
        <v>13</v>
      </c>
      <c r="BN4" s="30" t="s">
        <v>7</v>
      </c>
      <c r="BO4" s="30" t="s">
        <v>8</v>
      </c>
      <c r="BP4" s="30" t="s">
        <v>9</v>
      </c>
      <c r="BQ4" s="30" t="s">
        <v>10</v>
      </c>
      <c r="BR4" s="30" t="s">
        <v>11</v>
      </c>
      <c r="BS4" s="30" t="s">
        <v>12</v>
      </c>
      <c r="BT4" s="30" t="s">
        <v>13</v>
      </c>
      <c r="BU4" s="31" t="s">
        <v>7</v>
      </c>
      <c r="BV4" s="31" t="s">
        <v>8</v>
      </c>
      <c r="BW4" s="31" t="s">
        <v>9</v>
      </c>
      <c r="BX4" s="32" t="s">
        <v>10</v>
      </c>
      <c r="BY4" s="32" t="s">
        <v>11</v>
      </c>
      <c r="BZ4" s="32" t="s">
        <v>12</v>
      </c>
      <c r="CA4" s="32" t="s">
        <v>13</v>
      </c>
      <c r="CB4" s="30" t="s">
        <v>7</v>
      </c>
      <c r="CC4" s="30" t="s">
        <v>8</v>
      </c>
      <c r="CD4" s="30" t="s">
        <v>9</v>
      </c>
      <c r="CE4" s="30" t="s">
        <v>10</v>
      </c>
      <c r="CF4" s="30" t="s">
        <v>11</v>
      </c>
      <c r="CG4" s="30" t="s">
        <v>12</v>
      </c>
      <c r="CH4" s="30" t="s">
        <v>13</v>
      </c>
      <c r="CI4" s="31" t="s">
        <v>7</v>
      </c>
      <c r="CJ4" s="31" t="s">
        <v>8</v>
      </c>
      <c r="CK4" s="31" t="s">
        <v>9</v>
      </c>
      <c r="CL4" s="32" t="s">
        <v>10</v>
      </c>
      <c r="CM4" s="32" t="s">
        <v>11</v>
      </c>
      <c r="CN4" s="32" t="s">
        <v>12</v>
      </c>
      <c r="CO4" s="32" t="s">
        <v>13</v>
      </c>
      <c r="CP4" s="30" t="s">
        <v>7</v>
      </c>
      <c r="CQ4" s="30" t="s">
        <v>8</v>
      </c>
      <c r="CR4" s="30" t="s">
        <v>9</v>
      </c>
      <c r="CS4" s="30" t="s">
        <v>10</v>
      </c>
      <c r="CT4" s="30" t="s">
        <v>11</v>
      </c>
      <c r="CU4" s="30" t="s">
        <v>12</v>
      </c>
      <c r="CV4" s="30" t="s">
        <v>13</v>
      </c>
      <c r="CW4" s="31" t="s">
        <v>7</v>
      </c>
      <c r="CX4" s="31" t="s">
        <v>8</v>
      </c>
      <c r="CY4" s="31" t="s">
        <v>9</v>
      </c>
      <c r="CZ4" s="32" t="s">
        <v>10</v>
      </c>
      <c r="DA4" s="32" t="s">
        <v>11</v>
      </c>
      <c r="DB4" s="32" t="s">
        <v>12</v>
      </c>
      <c r="DC4" s="32" t="s">
        <v>13</v>
      </c>
      <c r="DD4" s="30" t="s">
        <v>7</v>
      </c>
      <c r="DE4" s="30" t="s">
        <v>8</v>
      </c>
      <c r="DF4" s="30" t="s">
        <v>9</v>
      </c>
      <c r="DG4" s="30" t="s">
        <v>10</v>
      </c>
      <c r="DH4" s="30" t="s">
        <v>11</v>
      </c>
      <c r="DI4" s="30" t="s">
        <v>12</v>
      </c>
      <c r="DJ4" s="30" t="s">
        <v>13</v>
      </c>
      <c r="DK4" s="31" t="s">
        <v>7</v>
      </c>
      <c r="DL4" s="31" t="s">
        <v>8</v>
      </c>
      <c r="DM4" s="31" t="s">
        <v>9</v>
      </c>
      <c r="DN4" s="32" t="s">
        <v>10</v>
      </c>
      <c r="DO4" s="32" t="s">
        <v>11</v>
      </c>
      <c r="DP4" s="32" t="s">
        <v>12</v>
      </c>
      <c r="DQ4" s="32" t="s">
        <v>13</v>
      </c>
      <c r="DR4" s="30" t="s">
        <v>7</v>
      </c>
      <c r="DS4" s="30" t="s">
        <v>8</v>
      </c>
      <c r="DT4" s="30" t="s">
        <v>9</v>
      </c>
      <c r="DU4" s="30" t="s">
        <v>10</v>
      </c>
      <c r="DV4" s="30" t="s">
        <v>11</v>
      </c>
      <c r="DW4" s="30" t="s">
        <v>12</v>
      </c>
      <c r="DX4" s="30" t="s">
        <v>13</v>
      </c>
      <c r="DY4" s="31" t="s">
        <v>7</v>
      </c>
      <c r="DZ4" s="31" t="s">
        <v>8</v>
      </c>
      <c r="EA4" s="31" t="s">
        <v>9</v>
      </c>
      <c r="EB4" s="32" t="s">
        <v>10</v>
      </c>
      <c r="EC4" s="32" t="s">
        <v>11</v>
      </c>
      <c r="ED4" s="32" t="s">
        <v>12</v>
      </c>
      <c r="EE4" s="32" t="s">
        <v>13</v>
      </c>
      <c r="EF4" s="30" t="s">
        <v>7</v>
      </c>
      <c r="EG4" s="30" t="s">
        <v>8</v>
      </c>
      <c r="EH4" s="30" t="s">
        <v>9</v>
      </c>
      <c r="EI4" s="30" t="s">
        <v>10</v>
      </c>
      <c r="EJ4" s="30" t="s">
        <v>11</v>
      </c>
      <c r="EK4" s="30" t="s">
        <v>12</v>
      </c>
      <c r="EL4" s="30" t="s">
        <v>13</v>
      </c>
      <c r="EM4" s="31" t="s">
        <v>7</v>
      </c>
      <c r="EN4" s="31" t="s">
        <v>8</v>
      </c>
      <c r="EO4" s="31" t="s">
        <v>9</v>
      </c>
      <c r="EP4" s="32" t="s">
        <v>10</v>
      </c>
      <c r="EQ4" s="32" t="s">
        <v>11</v>
      </c>
      <c r="ER4" s="32" t="s">
        <v>12</v>
      </c>
      <c r="ES4" s="32" t="s">
        <v>13</v>
      </c>
      <c r="ET4" s="30" t="s">
        <v>7</v>
      </c>
      <c r="EU4" s="30" t="s">
        <v>8</v>
      </c>
      <c r="EV4" s="30" t="s">
        <v>9</v>
      </c>
      <c r="EW4" s="30" t="s">
        <v>10</v>
      </c>
      <c r="EX4" s="30" t="s">
        <v>11</v>
      </c>
      <c r="EY4" s="30" t="s">
        <v>12</v>
      </c>
      <c r="EZ4" s="30" t="s">
        <v>13</v>
      </c>
      <c r="FA4" s="31" t="s">
        <v>7</v>
      </c>
      <c r="FB4" s="31" t="s">
        <v>8</v>
      </c>
      <c r="FC4" s="31" t="s">
        <v>9</v>
      </c>
      <c r="FD4" s="32" t="s">
        <v>10</v>
      </c>
      <c r="FE4" s="32" t="s">
        <v>11</v>
      </c>
      <c r="FF4" s="32" t="s">
        <v>12</v>
      </c>
      <c r="FG4" s="32" t="s">
        <v>13</v>
      </c>
    </row>
    <row r="5" spans="1:163">
      <c r="A5" s="6">
        <v>45965</v>
      </c>
      <c r="B5" s="7" t="s">
        <v>17</v>
      </c>
      <c r="C5" s="8">
        <v>1</v>
      </c>
      <c r="D5" s="9">
        <v>0</v>
      </c>
      <c r="E5" s="10">
        <v>6.5</v>
      </c>
      <c r="F5" s="19">
        <f>IF($D$8=0,0,D5/$D$8)</f>
        <v>0</v>
      </c>
      <c r="G5" s="19">
        <f>C16</f>
        <v>0.27202072538860106</v>
      </c>
      <c r="H5" s="19">
        <f>F5-G5</f>
        <v>-0.27202072538860106</v>
      </c>
      <c r="I5" s="20">
        <f>G5*$D$8</f>
        <v>0</v>
      </c>
      <c r="J5" s="8">
        <v>7</v>
      </c>
      <c r="K5" s="9">
        <v>12</v>
      </c>
      <c r="L5" s="10">
        <v>18.899999999999999</v>
      </c>
      <c r="M5" s="19">
        <f>IF($K$8=0,0,J5/$K$8)</f>
        <v>0.12727272727272726</v>
      </c>
      <c r="N5" s="19">
        <f>C16</f>
        <v>0.27202072538860106</v>
      </c>
      <c r="O5" s="19">
        <f>M5-N5</f>
        <v>-0.1447479981158738</v>
      </c>
      <c r="P5" s="20">
        <f>N5*$K$8</f>
        <v>14.961139896373059</v>
      </c>
      <c r="Q5" s="8">
        <v>19</v>
      </c>
      <c r="R5" s="9">
        <v>1</v>
      </c>
      <c r="S5" s="10">
        <v>20.2</v>
      </c>
      <c r="T5" s="19">
        <f>R5/$R$8</f>
        <v>5.2631578947368418E-2</v>
      </c>
      <c r="U5" s="19">
        <f>C16</f>
        <v>0.27202072538860106</v>
      </c>
      <c r="V5" s="19">
        <f>T5-U5</f>
        <v>-0.21938914644123264</v>
      </c>
      <c r="W5" s="20">
        <f>U5*$R$8</f>
        <v>5.1683937823834203</v>
      </c>
      <c r="X5" s="8">
        <v>20</v>
      </c>
      <c r="Y5" s="9">
        <v>5</v>
      </c>
      <c r="Z5" s="10">
        <v>24.9</v>
      </c>
      <c r="AA5" s="19">
        <f>Y5/Y8</f>
        <v>0.22727272727272727</v>
      </c>
      <c r="AB5" s="19">
        <f>C16</f>
        <v>0.27202072538860106</v>
      </c>
      <c r="AC5" s="19">
        <f>AA5-AB5</f>
        <v>-4.4747998115873794E-2</v>
      </c>
      <c r="AD5" s="20">
        <f>AB5*Y8</f>
        <v>5.9844559585492236</v>
      </c>
      <c r="AE5" s="8">
        <v>25</v>
      </c>
      <c r="AF5" s="9">
        <v>7</v>
      </c>
      <c r="AG5" s="10">
        <v>32.6</v>
      </c>
      <c r="AH5" s="19">
        <f>AF5/$AF$8</f>
        <v>0.30434782608695654</v>
      </c>
      <c r="AI5" s="19">
        <f>C16</f>
        <v>0.27202072538860106</v>
      </c>
      <c r="AJ5" s="19">
        <f>AH5-AI5</f>
        <v>3.2327100698355482E-2</v>
      </c>
      <c r="AK5" s="20">
        <f>AI5*$AF$8</f>
        <v>6.2564766839378247</v>
      </c>
      <c r="AL5" s="8">
        <v>33</v>
      </c>
      <c r="AM5" s="9">
        <v>8</v>
      </c>
      <c r="AN5" s="10">
        <v>41.5</v>
      </c>
      <c r="AO5" s="19">
        <f>AM5/$AM$8</f>
        <v>0.21621621621621623</v>
      </c>
      <c r="AP5" s="19">
        <f>C16</f>
        <v>0.27202072538860106</v>
      </c>
      <c r="AQ5" s="19">
        <f>AO5-AP5</f>
        <v>-5.5804509172384831E-2</v>
      </c>
      <c r="AR5" s="20">
        <f>AP5*$AM$8</f>
        <v>10.064766839378239</v>
      </c>
      <c r="AS5" s="8">
        <v>42</v>
      </c>
      <c r="AT5" s="9">
        <v>1</v>
      </c>
      <c r="AU5" s="10">
        <v>43</v>
      </c>
      <c r="AV5" s="19">
        <f>AT5/$AT$8</f>
        <v>1</v>
      </c>
      <c r="AW5" s="19">
        <f>C16</f>
        <v>0.27202072538860106</v>
      </c>
      <c r="AX5" s="19">
        <f>AV5-AW5</f>
        <v>0.72797927461139889</v>
      </c>
      <c r="AY5" s="20">
        <f>AW5*$AT$8</f>
        <v>0.27202072538860106</v>
      </c>
      <c r="AZ5" s="8">
        <v>48</v>
      </c>
      <c r="BA5" s="9">
        <v>6</v>
      </c>
      <c r="BB5" s="10">
        <v>53.9</v>
      </c>
      <c r="BC5" s="19">
        <f>BA5/$BA$8</f>
        <v>0.20689655172413793</v>
      </c>
      <c r="BD5" s="19">
        <f>C16</f>
        <v>0.27202072538860106</v>
      </c>
      <c r="BE5" s="19">
        <f>BC5-BD5</f>
        <v>-6.5124173664463131E-2</v>
      </c>
      <c r="BF5" s="20">
        <f>BD5*$BA$8</f>
        <v>7.8886010362694305</v>
      </c>
      <c r="BG5" s="8">
        <v>58</v>
      </c>
      <c r="BH5" s="9">
        <v>1</v>
      </c>
      <c r="BI5" s="10">
        <v>59.4</v>
      </c>
      <c r="BJ5" s="19">
        <f>BH5/$BH$8</f>
        <v>6.6666666666666666E-2</v>
      </c>
      <c r="BK5" s="19">
        <f>C16</f>
        <v>0.27202072538860106</v>
      </c>
      <c r="BL5" s="19">
        <f>BJ5-BK5</f>
        <v>-0.20535405872193441</v>
      </c>
      <c r="BM5" s="20">
        <f>BK5*$BH$8</f>
        <v>4.0803108808290158</v>
      </c>
      <c r="BN5" s="8">
        <v>59</v>
      </c>
      <c r="BO5" s="9">
        <v>6</v>
      </c>
      <c r="BP5" s="10">
        <v>65.5</v>
      </c>
      <c r="BQ5" s="19">
        <f>BO5/$BO$8</f>
        <v>0.18181818181818182</v>
      </c>
      <c r="BR5" s="19">
        <f>C16</f>
        <v>0.27202072538860106</v>
      </c>
      <c r="BS5" s="19">
        <f>BQ5-BR5</f>
        <v>-9.0202543570419236E-2</v>
      </c>
      <c r="BT5" s="20">
        <f>BR5*$BO$8</f>
        <v>8.9766839378238341</v>
      </c>
      <c r="BU5" s="8">
        <v>59</v>
      </c>
      <c r="BV5" s="9">
        <v>1</v>
      </c>
      <c r="BW5" s="10">
        <v>60.5</v>
      </c>
      <c r="BX5" s="19">
        <f>BV5/$BV$8</f>
        <v>1.8867924528301886E-2</v>
      </c>
      <c r="BY5" s="19">
        <f>C16</f>
        <v>0.27202072538860106</v>
      </c>
      <c r="BZ5" s="19">
        <f>BX5-BY5</f>
        <v>-0.25315280086029918</v>
      </c>
      <c r="CA5" s="20">
        <f>BY5*$BV$8</f>
        <v>14.417098445595856</v>
      </c>
      <c r="CB5" s="8">
        <v>61</v>
      </c>
      <c r="CC5" s="9">
        <v>-7</v>
      </c>
      <c r="CD5" s="10">
        <v>54.3</v>
      </c>
      <c r="CE5" s="19">
        <f>CC5/$CC$8</f>
        <v>-0.25925925925925924</v>
      </c>
      <c r="CF5" s="19">
        <f>C16</f>
        <v>0.27202072538860106</v>
      </c>
      <c r="CG5" s="19">
        <f>CE5-CF5</f>
        <v>-0.5312799846478603</v>
      </c>
      <c r="CH5" s="20">
        <f>CF5*$CC$8</f>
        <v>7.3445595854922283</v>
      </c>
      <c r="CI5" s="8">
        <v>54</v>
      </c>
      <c r="CJ5" s="9">
        <v>-4</v>
      </c>
      <c r="CK5" s="10">
        <v>50.2</v>
      </c>
      <c r="CL5" s="19">
        <f>CJ5/$CJ$8</f>
        <v>0.5</v>
      </c>
      <c r="CM5" s="19">
        <f>C16</f>
        <v>0.27202072538860106</v>
      </c>
      <c r="CN5" s="19">
        <f>CL5-CM5</f>
        <v>0.22797927461139894</v>
      </c>
      <c r="CO5" s="20">
        <f>CM5*$CJ$8</f>
        <v>-2.1761658031088085</v>
      </c>
      <c r="CP5" s="8">
        <v>50</v>
      </c>
      <c r="CQ5" s="9">
        <v>-2</v>
      </c>
      <c r="CR5" s="10">
        <v>48.1</v>
      </c>
      <c r="CS5" s="19">
        <f>CQ5/$CQ$8</f>
        <v>-9.5238095238095233E-2</v>
      </c>
      <c r="CT5" s="19">
        <f>C16</f>
        <v>0.27202072538860106</v>
      </c>
      <c r="CU5" s="19">
        <f>CS5-CT5</f>
        <v>-0.36725882062669629</v>
      </c>
      <c r="CV5" s="20">
        <f>CT5*$CQ$8</f>
        <v>5.7124352331606225</v>
      </c>
      <c r="CW5" s="8">
        <v>48</v>
      </c>
      <c r="CX5" s="9">
        <v>-3</v>
      </c>
      <c r="CY5" s="10">
        <v>45.6</v>
      </c>
      <c r="CZ5" s="19">
        <f>CX5/$CX$8</f>
        <v>-0.15</v>
      </c>
      <c r="DA5" s="19">
        <f>C16</f>
        <v>0.27202072538860106</v>
      </c>
      <c r="DB5" s="19">
        <f>CZ5-DA5</f>
        <v>-0.42202072538860103</v>
      </c>
      <c r="DC5" s="20">
        <f>DA5*$CX$8</f>
        <v>5.4404145077720214</v>
      </c>
      <c r="DD5" s="8">
        <v>46</v>
      </c>
      <c r="DE5" s="9">
        <v>-5</v>
      </c>
      <c r="DF5" s="10">
        <v>41.6</v>
      </c>
      <c r="DG5" s="19">
        <f>DE5/$DE$8</f>
        <v>-0.20833333333333334</v>
      </c>
      <c r="DH5" s="19">
        <f>C16</f>
        <v>0.27202072538860106</v>
      </c>
      <c r="DI5" s="19">
        <f>DG5-DH5</f>
        <v>-0.48035405872193437</v>
      </c>
      <c r="DJ5" s="20">
        <f>DH5*$DE$8</f>
        <v>6.528497409326425</v>
      </c>
      <c r="DK5" s="8">
        <v>42</v>
      </c>
      <c r="DL5" s="9">
        <v>2</v>
      </c>
      <c r="DM5" s="10">
        <v>43.7</v>
      </c>
      <c r="DN5" s="19">
        <f>DL5/$DL$8</f>
        <v>0.25</v>
      </c>
      <c r="DO5" s="19">
        <f>C16</f>
        <v>0.27202072538860106</v>
      </c>
      <c r="DP5" s="19">
        <f>DN5-DO5</f>
        <v>-2.2020725388601059E-2</v>
      </c>
      <c r="DQ5" s="20">
        <f>DO5*$DL$8</f>
        <v>2.1761658031088085</v>
      </c>
      <c r="DR5" s="8">
        <v>44</v>
      </c>
      <c r="DS5" s="9">
        <v>2</v>
      </c>
      <c r="DT5" s="10">
        <v>46.3</v>
      </c>
      <c r="DU5" s="19">
        <f>DS5/$DS$8</f>
        <v>0.22222222222222221</v>
      </c>
      <c r="DV5" s="19">
        <f>C16</f>
        <v>0.27202072538860106</v>
      </c>
      <c r="DW5" s="19">
        <f>DU5-DV5</f>
        <v>-4.9798503166378849E-2</v>
      </c>
      <c r="DX5" s="20">
        <f>DV5*$DS$8</f>
        <v>2.4481865284974096</v>
      </c>
      <c r="DY5" s="8">
        <v>46</v>
      </c>
      <c r="DZ5" s="9">
        <v>-5</v>
      </c>
      <c r="EA5" s="10">
        <v>41.3</v>
      </c>
      <c r="EB5" s="19">
        <f>DZ5/$DZ$8</f>
        <v>0.27777777777777779</v>
      </c>
      <c r="EC5" s="19">
        <f>C16</f>
        <v>0.27202072538860106</v>
      </c>
      <c r="ED5" s="19">
        <f>EB5-EC5</f>
        <v>5.7570523891767311E-3</v>
      </c>
      <c r="EE5" s="20">
        <f>EC5*$DZ$8</f>
        <v>-4.8963730569948192</v>
      </c>
      <c r="EF5" s="8">
        <v>41</v>
      </c>
      <c r="EG5" s="9">
        <v>-5</v>
      </c>
      <c r="EH5" s="10">
        <v>36.5</v>
      </c>
      <c r="EI5" s="19">
        <f>EG5/$EG$8</f>
        <v>0.29411764705882354</v>
      </c>
      <c r="EJ5" s="19">
        <f>C16</f>
        <v>0.27202072538860106</v>
      </c>
      <c r="EK5" s="19">
        <f>EI5-EJ5</f>
        <v>2.209692167022248E-2</v>
      </c>
      <c r="EL5" s="20">
        <f>EJ5*$EG$8</f>
        <v>-4.6243523316062181</v>
      </c>
      <c r="EM5" s="8">
        <v>37</v>
      </c>
      <c r="EN5" s="9">
        <v>-2</v>
      </c>
      <c r="EO5" s="10">
        <v>35.4</v>
      </c>
      <c r="EP5" s="19">
        <f>EN5/$EN$8</f>
        <v>0.15384615384615385</v>
      </c>
      <c r="EQ5" s="19">
        <f>C16</f>
        <v>0.27202072538860106</v>
      </c>
      <c r="ER5" s="19">
        <f>EP5-EQ5</f>
        <v>-0.1181745715424472</v>
      </c>
      <c r="ES5" s="20">
        <f>EQ5*$EN$8</f>
        <v>-3.5362694300518136</v>
      </c>
      <c r="ET5" s="8">
        <v>35</v>
      </c>
      <c r="EU5" s="9">
        <v>0</v>
      </c>
      <c r="EV5" s="10">
        <v>35.6</v>
      </c>
      <c r="EW5" s="19">
        <f>EU5/$EU$8</f>
        <v>0</v>
      </c>
      <c r="EX5" s="19">
        <f>C16</f>
        <v>0.27202072538860106</v>
      </c>
      <c r="EY5" s="19">
        <f>EW5-EX5</f>
        <v>-0.27202072538860106</v>
      </c>
      <c r="EZ5" s="20">
        <f>EX5*$EU$8</f>
        <v>1.3601036269430054</v>
      </c>
      <c r="FA5" s="8">
        <v>36</v>
      </c>
      <c r="FB5" s="9">
        <v>-3</v>
      </c>
      <c r="FC5" s="10">
        <v>32.799999999999997</v>
      </c>
      <c r="FD5" s="19">
        <f>IF($FB$8=0,0,FB5/$FB$8)</f>
        <v>0</v>
      </c>
      <c r="FE5" s="19">
        <f>C16</f>
        <v>0.27202072538860106</v>
      </c>
      <c r="FF5" s="19">
        <f>FD5-FE5</f>
        <v>-0.27202072538860106</v>
      </c>
      <c r="FG5" s="20">
        <f>FE5*$FB$8</f>
        <v>0</v>
      </c>
    </row>
    <row r="6" spans="1:163">
      <c r="A6" s="11">
        <v>45965</v>
      </c>
      <c r="B6" s="12" t="s">
        <v>18</v>
      </c>
      <c r="C6" s="8">
        <v>0</v>
      </c>
      <c r="D6" s="9">
        <v>0</v>
      </c>
      <c r="E6" s="10">
        <v>4.5</v>
      </c>
      <c r="F6" s="19">
        <f t="shared" ref="F6:F7" si="0">IF($D$8=0,0,D6/$D$8)</f>
        <v>0</v>
      </c>
      <c r="G6" s="19">
        <f t="shared" ref="G6:G7" si="1">C17</f>
        <v>0.50777202072538863</v>
      </c>
      <c r="H6" s="19">
        <f t="shared" ref="H6:H7" si="2">F6-G6</f>
        <v>-0.50777202072538863</v>
      </c>
      <c r="I6" s="20">
        <f t="shared" ref="I6:I7" si="3">G6*$D$8</f>
        <v>0</v>
      </c>
      <c r="J6" s="8">
        <v>4</v>
      </c>
      <c r="K6" s="9">
        <v>30</v>
      </c>
      <c r="L6" s="10">
        <v>34.299999999999997</v>
      </c>
      <c r="M6" s="19">
        <f t="shared" ref="M6:M7" si="4">IF($K$8=0,0,J6/$K$8)</f>
        <v>7.2727272727272724E-2</v>
      </c>
      <c r="N6" s="19">
        <f t="shared" ref="N6:N7" si="5">C17</f>
        <v>0.50777202072538863</v>
      </c>
      <c r="O6" s="19">
        <f t="shared" ref="O6:O7" si="6">M6-N6</f>
        <v>-0.43504474799811588</v>
      </c>
      <c r="P6" s="20">
        <f t="shared" ref="P6:P7" si="7">N6*$D$8</f>
        <v>0</v>
      </c>
      <c r="Q6" s="8">
        <v>33</v>
      </c>
      <c r="R6" s="9">
        <v>4</v>
      </c>
      <c r="S6" s="10">
        <v>36.700000000000003</v>
      </c>
      <c r="T6" s="19">
        <f t="shared" ref="T6:T7" si="8">R6/$R$8</f>
        <v>0.21052631578947367</v>
      </c>
      <c r="U6" s="19">
        <f t="shared" ref="U6:U7" si="9">C17</f>
        <v>0.50777202072538863</v>
      </c>
      <c r="V6" s="19">
        <f t="shared" ref="V6:V7" si="10">T6-U6</f>
        <v>-0.29724570493591496</v>
      </c>
      <c r="W6" s="20">
        <f t="shared" ref="W6:W7" si="11">U6*$R$8</f>
        <v>9.6476683937823839</v>
      </c>
      <c r="X6" s="8">
        <v>33</v>
      </c>
      <c r="Y6" s="9">
        <v>12</v>
      </c>
      <c r="Z6" s="10">
        <v>45.1</v>
      </c>
      <c r="AA6" s="19">
        <f t="shared" ref="AA6:AA7" si="12">Y6/$Y$8</f>
        <v>0.54545454545454541</v>
      </c>
      <c r="AB6" s="19">
        <f t="shared" ref="AB6:AB7" si="13">C17</f>
        <v>0.50777202072538863</v>
      </c>
      <c r="AC6" s="19">
        <f t="shared" ref="AC6:AC7" si="14">AA6-AB6</f>
        <v>3.7682524729156786E-2</v>
      </c>
      <c r="AD6" s="20">
        <f t="shared" ref="AD6:AD7" si="15">AB6*$Y$8</f>
        <v>11.17098445595855</v>
      </c>
      <c r="AE6" s="8">
        <v>47</v>
      </c>
      <c r="AF6" s="9">
        <v>10</v>
      </c>
      <c r="AG6" s="10">
        <v>56.4</v>
      </c>
      <c r="AH6" s="19">
        <f t="shared" ref="AH6:AH7" si="16">AF6/$AF$8</f>
        <v>0.43478260869565216</v>
      </c>
      <c r="AI6" s="19">
        <f t="shared" ref="AI6:AI7" si="17">C17</f>
        <v>0.50777202072538863</v>
      </c>
      <c r="AJ6" s="19">
        <f t="shared" ref="AJ6:AJ7" si="18">AH6-AI6</f>
        <v>-7.2989412029736467E-2</v>
      </c>
      <c r="AK6" s="20">
        <f t="shared" ref="AK6:AK7" si="19">AI6*$AF$8</f>
        <v>11.678756476683938</v>
      </c>
      <c r="AL6" s="8">
        <v>49</v>
      </c>
      <c r="AM6" s="9">
        <v>22</v>
      </c>
      <c r="AN6" s="10">
        <v>71.099999999999994</v>
      </c>
      <c r="AO6" s="19">
        <f t="shared" ref="AO6:AO7" si="20">AM6/$AM$8</f>
        <v>0.59459459459459463</v>
      </c>
      <c r="AP6" s="19">
        <f t="shared" ref="AP6:AP7" si="21">C17</f>
        <v>0.50777202072538863</v>
      </c>
      <c r="AQ6" s="19">
        <f t="shared" ref="AQ6:AQ7" si="22">AO6-AP6</f>
        <v>8.6822573869205999E-2</v>
      </c>
      <c r="AR6" s="20">
        <f t="shared" ref="AR6:AR7" si="23">AP6*$AM$8</f>
        <v>18.787564766839381</v>
      </c>
      <c r="AS6" s="8">
        <v>78</v>
      </c>
      <c r="AT6" s="9">
        <v>-1</v>
      </c>
      <c r="AU6" s="10">
        <v>77.900000000000006</v>
      </c>
      <c r="AV6" s="19">
        <f t="shared" ref="AV6:AV7" si="24">AT6/$AT$8</f>
        <v>-1</v>
      </c>
      <c r="AW6" s="19">
        <f t="shared" ref="AW6:AW7" si="25">C17</f>
        <v>0.50777202072538863</v>
      </c>
      <c r="AX6" s="19">
        <f t="shared" ref="AX6:AX7" si="26">AV6-AW6</f>
        <v>-1.5077720207253886</v>
      </c>
      <c r="AY6" s="20">
        <f t="shared" ref="AY6:AY7" si="27">AW6*$AT$8</f>
        <v>0.50777202072538863</v>
      </c>
      <c r="AZ6" s="8">
        <v>79</v>
      </c>
      <c r="BA6" s="9">
        <v>18</v>
      </c>
      <c r="BB6" s="10">
        <v>96.9</v>
      </c>
      <c r="BC6" s="19">
        <f t="shared" ref="BC6:BC7" si="28">BA6/$BA$8</f>
        <v>0.62068965517241381</v>
      </c>
      <c r="BD6" s="19">
        <f t="shared" ref="BD6:BD7" si="29">C17</f>
        <v>0.50777202072538863</v>
      </c>
      <c r="BE6" s="19">
        <f t="shared" ref="BE6:BE7" si="30">BC6-BD6</f>
        <v>0.11291763444702518</v>
      </c>
      <c r="BF6" s="20">
        <f t="shared" ref="BF6:BF7" si="31">BD6*$BA$8</f>
        <v>14.72538860103627</v>
      </c>
      <c r="BG6" s="8">
        <v>98</v>
      </c>
      <c r="BH6" s="9">
        <v>9</v>
      </c>
      <c r="BI6" s="10">
        <v>107.7</v>
      </c>
      <c r="BJ6" s="19">
        <f t="shared" ref="BJ6:BJ7" si="32">BH6/$BH$8</f>
        <v>0.6</v>
      </c>
      <c r="BK6" s="19">
        <f t="shared" ref="BK6:BK7" si="33">C17</f>
        <v>0.50777202072538863</v>
      </c>
      <c r="BL6" s="19">
        <f t="shared" ref="BL6:BL7" si="34">BJ6-BK6</f>
        <v>9.2227979274611349E-2</v>
      </c>
      <c r="BM6" s="20">
        <f t="shared" ref="BM6:BM7" si="35">BK6*$BH$8</f>
        <v>7.6165803108808294</v>
      </c>
      <c r="BN6" s="8">
        <v>96</v>
      </c>
      <c r="BO6" s="9">
        <v>23</v>
      </c>
      <c r="BP6" s="10">
        <v>118.7</v>
      </c>
      <c r="BQ6" s="19">
        <f t="shared" ref="BQ6:BQ7" si="36">BO6/$BO$8</f>
        <v>0.69696969696969702</v>
      </c>
      <c r="BR6" s="19">
        <f t="shared" ref="BR6:BR7" si="37">C17</f>
        <v>0.50777202072538863</v>
      </c>
      <c r="BS6" s="19">
        <f t="shared" ref="BS6:BS7" si="38">BQ6-BR6</f>
        <v>0.18919767624430839</v>
      </c>
      <c r="BT6" s="20">
        <f t="shared" ref="BT6:BT7" si="39">BR6*$BO$8</f>
        <v>16.756476683937827</v>
      </c>
      <c r="BU6" s="8">
        <v>52</v>
      </c>
      <c r="BV6" s="9">
        <v>57</v>
      </c>
      <c r="BW6" s="10">
        <v>109.6</v>
      </c>
      <c r="BX6" s="19">
        <f t="shared" ref="BX6:BX7" si="40">BV6/$BV$8</f>
        <v>1.0754716981132075</v>
      </c>
      <c r="BY6" s="19">
        <f t="shared" ref="BY6:BY7" si="41">C17</f>
        <v>0.50777202072538863</v>
      </c>
      <c r="BZ6" s="19">
        <f t="shared" ref="BZ6:BZ7" si="42">BX6-BY6</f>
        <v>0.5676996773878189</v>
      </c>
      <c r="CA6" s="20">
        <f t="shared" ref="CA6:CA7" si="43">BY6*$BV$8</f>
        <v>26.911917098445599</v>
      </c>
      <c r="CB6" s="8">
        <v>58</v>
      </c>
      <c r="CC6" s="9">
        <v>40</v>
      </c>
      <c r="CD6" s="10">
        <v>98.4</v>
      </c>
      <c r="CE6" s="19">
        <f t="shared" ref="CE6:CE7" si="44">CC6/$CC$8</f>
        <v>1.4814814814814814</v>
      </c>
      <c r="CF6" s="19">
        <f t="shared" ref="CF6:CF7" si="45">C17</f>
        <v>0.50777202072538863</v>
      </c>
      <c r="CG6" s="19">
        <f t="shared" ref="CG6:CG7" si="46">CE6-CF6</f>
        <v>0.97370946075609277</v>
      </c>
      <c r="CH6" s="20">
        <f t="shared" ref="CH6:CH7" si="47">CF6*$CC$8</f>
        <v>13.709844559585493</v>
      </c>
      <c r="CI6" s="8">
        <v>91</v>
      </c>
      <c r="CJ6" s="9">
        <v>0</v>
      </c>
      <c r="CK6" s="10">
        <v>91</v>
      </c>
      <c r="CL6" s="19">
        <f t="shared" ref="CL6:CL7" si="48">CJ6/$CJ$8</f>
        <v>0</v>
      </c>
      <c r="CM6" s="19">
        <f t="shared" ref="CM6:CM7" si="49">C17</f>
        <v>0.50777202072538863</v>
      </c>
      <c r="CN6" s="19">
        <f t="shared" ref="CN6:CN7" si="50">CL6-CM6</f>
        <v>-0.50777202072538863</v>
      </c>
      <c r="CO6" s="20">
        <f t="shared" ref="CO6:CO7" si="51">CM6*$CJ$8</f>
        <v>-4.062176165803109</v>
      </c>
      <c r="CP6" s="8">
        <v>62</v>
      </c>
      <c r="CQ6" s="9">
        <v>25</v>
      </c>
      <c r="CR6" s="10">
        <v>87.2</v>
      </c>
      <c r="CS6" s="19">
        <f t="shared" ref="CS6:CS7" si="52">CQ6/$CQ$8</f>
        <v>1.1904761904761905</v>
      </c>
      <c r="CT6" s="19">
        <f t="shared" ref="CT6:CT7" si="53">C17</f>
        <v>0.50777202072538863</v>
      </c>
      <c r="CU6" s="19">
        <f t="shared" ref="CU6:CU7" si="54">CS6-CT6</f>
        <v>0.68270416975080184</v>
      </c>
      <c r="CV6" s="20">
        <f t="shared" ref="CV6:CV7" si="55">CT6*$CQ$8</f>
        <v>10.663212435233161</v>
      </c>
      <c r="CW6" s="8">
        <v>58</v>
      </c>
      <c r="CX6" s="9">
        <v>25</v>
      </c>
      <c r="CY6" s="10">
        <v>82.7</v>
      </c>
      <c r="CZ6" s="19">
        <f t="shared" ref="CZ6:CZ7" si="56">CX6/$CX$8</f>
        <v>1.25</v>
      </c>
      <c r="DA6" s="19">
        <f t="shared" ref="DA6:DA7" si="57">C17</f>
        <v>0.50777202072538863</v>
      </c>
      <c r="DB6" s="19">
        <f t="shared" ref="DB6:DB7" si="58">CZ6-DA6</f>
        <v>0.74222797927461137</v>
      </c>
      <c r="DC6" s="20">
        <f t="shared" ref="DC6:DC7" si="59">DA6*$CX$8</f>
        <v>10.155440414507773</v>
      </c>
      <c r="DD6" s="8">
        <v>43</v>
      </c>
      <c r="DE6" s="9">
        <v>32</v>
      </c>
      <c r="DF6" s="10">
        <v>75.400000000000006</v>
      </c>
      <c r="DG6" s="19">
        <f t="shared" ref="DG6:DG7" si="60">DE6/$DE$8</f>
        <v>1.3333333333333333</v>
      </c>
      <c r="DH6" s="19">
        <f t="shared" ref="DH6:DH7" si="61">C17</f>
        <v>0.50777202072538863</v>
      </c>
      <c r="DI6" s="19">
        <f t="shared" ref="DI6:DI7" si="62">DG6-DH6</f>
        <v>0.82556131260794463</v>
      </c>
      <c r="DJ6" s="20">
        <f t="shared" ref="DJ6:DJ7" si="63">DH6*$DE$8</f>
        <v>12.186528497409327</v>
      </c>
      <c r="DK6" s="8">
        <v>74</v>
      </c>
      <c r="DL6" s="9">
        <v>5</v>
      </c>
      <c r="DM6" s="10">
        <v>79.3</v>
      </c>
      <c r="DN6" s="19">
        <f t="shared" ref="DN6:DN7" si="64">DL6/$DL$8</f>
        <v>0.625</v>
      </c>
      <c r="DO6" s="19">
        <f t="shared" ref="DO6:DO7" si="65">C17</f>
        <v>0.50777202072538863</v>
      </c>
      <c r="DP6" s="19">
        <f t="shared" ref="DP6:DP7" si="66">DN6-DO6</f>
        <v>0.11722797927461137</v>
      </c>
      <c r="DQ6" s="20">
        <f t="shared" ref="DQ6:DQ7" si="67">DO6*$DL$8</f>
        <v>4.062176165803109</v>
      </c>
      <c r="DR6" s="8">
        <v>78</v>
      </c>
      <c r="DS6" s="9">
        <v>5</v>
      </c>
      <c r="DT6" s="10">
        <v>83.9</v>
      </c>
      <c r="DU6" s="19">
        <f t="shared" ref="DU6:DU7" si="68">DS6/$DS$8</f>
        <v>0.55555555555555558</v>
      </c>
      <c r="DV6" s="19">
        <f t="shared" ref="DV6:DV7" si="69">C17</f>
        <v>0.50777202072538863</v>
      </c>
      <c r="DW6" s="19">
        <f t="shared" ref="DW6:DW7" si="70">DU6-DV6</f>
        <v>4.7783534830166952E-2</v>
      </c>
      <c r="DX6" s="20">
        <f t="shared" ref="DX6:DX7" si="71">DV6*$DS$8</f>
        <v>4.5699481865284977</v>
      </c>
      <c r="DY6" s="8">
        <v>84</v>
      </c>
      <c r="DZ6" s="9">
        <v>-9</v>
      </c>
      <c r="EA6" s="10">
        <v>74.900000000000006</v>
      </c>
      <c r="EB6" s="19">
        <f t="shared" ref="EB6:EB7" si="72">DZ6/$DZ$8</f>
        <v>0.5</v>
      </c>
      <c r="EC6" s="19">
        <f t="shared" ref="EC6:EC7" si="73">C17</f>
        <v>0.50777202072538863</v>
      </c>
      <c r="ED6" s="19">
        <f t="shared" ref="ED6:ED7" si="74">EB6-EC6</f>
        <v>-7.7720207253886286E-3</v>
      </c>
      <c r="EE6" s="20">
        <f t="shared" ref="EE6:EE7" si="75">EC6*$DZ$8</f>
        <v>-9.1398963730569953</v>
      </c>
      <c r="EF6" s="8">
        <v>75</v>
      </c>
      <c r="EG6" s="9">
        <v>-8</v>
      </c>
      <c r="EH6" s="10">
        <v>66.3</v>
      </c>
      <c r="EI6" s="19">
        <f t="shared" ref="EI6:EI7" si="76">EG6/$EG$8</f>
        <v>0.47058823529411764</v>
      </c>
      <c r="EJ6" s="19">
        <f t="shared" ref="EJ6:EJ7" si="77">C17</f>
        <v>0.50777202072538863</v>
      </c>
      <c r="EK6" s="19">
        <f t="shared" ref="EK6:EK7" si="78">EI6-EJ6</f>
        <v>-3.7183785431270988E-2</v>
      </c>
      <c r="EL6" s="20">
        <f t="shared" ref="EL6:EL7" si="79">EJ6*$EG$8</f>
        <v>-8.6321243523316067</v>
      </c>
      <c r="EM6" s="8">
        <v>74</v>
      </c>
      <c r="EN6" s="9">
        <v>-10</v>
      </c>
      <c r="EO6" s="10">
        <v>64.2</v>
      </c>
      <c r="EP6" s="19">
        <f t="shared" ref="EP6:EP7" si="80">EN6/$EN$8</f>
        <v>0.76923076923076927</v>
      </c>
      <c r="EQ6" s="19">
        <f t="shared" ref="EQ6:EQ7" si="81">C17</f>
        <v>0.50777202072538863</v>
      </c>
      <c r="ER6" s="19">
        <f t="shared" ref="ER6:ER7" si="82">EP6-EQ6</f>
        <v>0.26145874850538064</v>
      </c>
      <c r="ES6" s="20">
        <f t="shared" ref="ES6:ES7" si="83">EQ6*$EN$8</f>
        <v>-6.6010362694300522</v>
      </c>
      <c r="ET6" s="8">
        <v>33</v>
      </c>
      <c r="EU6" s="9">
        <v>5</v>
      </c>
      <c r="EV6" s="10">
        <v>38.5</v>
      </c>
      <c r="EW6" s="19">
        <f t="shared" ref="EW6:EW7" si="84">EU6/$EU$8</f>
        <v>1</v>
      </c>
      <c r="EX6" s="19">
        <f t="shared" ref="EX6:EX7" si="85">C17</f>
        <v>0.50777202072538863</v>
      </c>
      <c r="EY6" s="19">
        <f t="shared" ref="EY6:EY7" si="86">EW6-EX6</f>
        <v>0.49222797927461137</v>
      </c>
      <c r="EZ6" s="20">
        <f t="shared" ref="EZ6:EZ7" si="87">EX6*$EU$8</f>
        <v>2.5388601036269431</v>
      </c>
      <c r="FA6" s="8">
        <v>24</v>
      </c>
      <c r="FB6" s="9">
        <v>5</v>
      </c>
      <c r="FC6" s="10">
        <v>29.9</v>
      </c>
      <c r="FD6" s="19">
        <f t="shared" ref="FD6:FD7" si="88">IF($FB$8=0,0,FB6/$FB$8)</f>
        <v>0</v>
      </c>
      <c r="FE6" s="19">
        <f t="shared" ref="FE6:FE7" si="89">C17</f>
        <v>0.50777202072538863</v>
      </c>
      <c r="FF6" s="19">
        <f t="shared" ref="FF6:FF7" si="90">FD6-FE6</f>
        <v>-0.50777202072538863</v>
      </c>
      <c r="FG6" s="20">
        <f t="shared" ref="FG6:FG7" si="91">FE6*$FB$8</f>
        <v>0</v>
      </c>
    </row>
    <row r="7" spans="1:163">
      <c r="A7" s="6">
        <v>45965</v>
      </c>
      <c r="B7" s="7" t="s">
        <v>19</v>
      </c>
      <c r="C7" s="8">
        <v>2</v>
      </c>
      <c r="D7" s="9">
        <v>0</v>
      </c>
      <c r="E7" s="10">
        <v>1.6</v>
      </c>
      <c r="F7" s="19">
        <f t="shared" si="0"/>
        <v>0</v>
      </c>
      <c r="G7" s="19">
        <f t="shared" si="1"/>
        <v>0.22020725388601037</v>
      </c>
      <c r="H7" s="19">
        <f t="shared" si="2"/>
        <v>-0.22020725388601037</v>
      </c>
      <c r="I7" s="20">
        <f t="shared" si="3"/>
        <v>0</v>
      </c>
      <c r="J7" s="8">
        <v>2</v>
      </c>
      <c r="K7" s="9">
        <v>13</v>
      </c>
      <c r="L7" s="10">
        <v>14.9</v>
      </c>
      <c r="M7" s="19">
        <f t="shared" si="4"/>
        <v>3.6363636363636362E-2</v>
      </c>
      <c r="N7" s="19">
        <f t="shared" si="5"/>
        <v>0.22020725388601037</v>
      </c>
      <c r="O7" s="19">
        <f t="shared" si="6"/>
        <v>-0.18384361752237399</v>
      </c>
      <c r="P7" s="20">
        <f t="shared" si="7"/>
        <v>0</v>
      </c>
      <c r="Q7" s="8">
        <v>2</v>
      </c>
      <c r="R7" s="9">
        <v>14</v>
      </c>
      <c r="S7" s="10">
        <v>15.9</v>
      </c>
      <c r="T7" s="19">
        <f t="shared" si="8"/>
        <v>0.73684210526315785</v>
      </c>
      <c r="U7" s="19">
        <f t="shared" si="9"/>
        <v>0.22020725388601037</v>
      </c>
      <c r="V7" s="19">
        <f t="shared" si="10"/>
        <v>0.51663485137714749</v>
      </c>
      <c r="W7" s="20">
        <f t="shared" si="11"/>
        <v>4.1839378238341967</v>
      </c>
      <c r="X7" s="8">
        <v>15</v>
      </c>
      <c r="Y7" s="9">
        <v>5</v>
      </c>
      <c r="Z7" s="10">
        <v>19.600000000000001</v>
      </c>
      <c r="AA7" s="19">
        <f t="shared" si="12"/>
        <v>0.22727272727272727</v>
      </c>
      <c r="AB7" s="19">
        <f t="shared" si="13"/>
        <v>0.22020725388601037</v>
      </c>
      <c r="AC7" s="19">
        <f t="shared" si="14"/>
        <v>7.0654733867168973E-3</v>
      </c>
      <c r="AD7" s="20">
        <f t="shared" si="15"/>
        <v>4.8445595854922283</v>
      </c>
      <c r="AE7" s="8">
        <v>20</v>
      </c>
      <c r="AF7" s="9">
        <v>6</v>
      </c>
      <c r="AG7" s="10">
        <v>25.6</v>
      </c>
      <c r="AH7" s="19">
        <f t="shared" si="16"/>
        <v>0.2608695652173913</v>
      </c>
      <c r="AI7" s="19">
        <f t="shared" si="17"/>
        <v>0.22020725388601037</v>
      </c>
      <c r="AJ7" s="19">
        <f t="shared" si="18"/>
        <v>4.0662311331380929E-2</v>
      </c>
      <c r="AK7" s="20">
        <f t="shared" si="19"/>
        <v>5.0647668393782386</v>
      </c>
      <c r="AL7" s="8">
        <v>26</v>
      </c>
      <c r="AM7" s="9">
        <v>7</v>
      </c>
      <c r="AN7" s="10">
        <v>32.6</v>
      </c>
      <c r="AO7" s="19">
        <f t="shared" si="20"/>
        <v>0.1891891891891892</v>
      </c>
      <c r="AP7" s="19">
        <f t="shared" si="21"/>
        <v>0.22020725388601037</v>
      </c>
      <c r="AQ7" s="19">
        <f t="shared" si="22"/>
        <v>-3.1018064696821168E-2</v>
      </c>
      <c r="AR7" s="20">
        <f t="shared" si="23"/>
        <v>8.1476683937823839</v>
      </c>
      <c r="AS7" s="8">
        <v>33</v>
      </c>
      <c r="AT7" s="9">
        <v>1</v>
      </c>
      <c r="AU7" s="10">
        <v>33.799999999999997</v>
      </c>
      <c r="AV7" s="19">
        <f t="shared" si="24"/>
        <v>1</v>
      </c>
      <c r="AW7" s="19">
        <f t="shared" si="25"/>
        <v>0.22020725388601037</v>
      </c>
      <c r="AX7" s="19">
        <f t="shared" si="26"/>
        <v>0.77979274611398963</v>
      </c>
      <c r="AY7" s="20">
        <f t="shared" si="27"/>
        <v>0.22020725388601037</v>
      </c>
      <c r="AZ7" s="8">
        <v>37</v>
      </c>
      <c r="BA7" s="9">
        <v>5</v>
      </c>
      <c r="BB7" s="10">
        <v>42.4</v>
      </c>
      <c r="BC7" s="19">
        <f t="shared" si="28"/>
        <v>0.17241379310344829</v>
      </c>
      <c r="BD7" s="19">
        <f t="shared" si="29"/>
        <v>0.22020725388601037</v>
      </c>
      <c r="BE7" s="19">
        <f t="shared" si="30"/>
        <v>-4.7793460782562081E-2</v>
      </c>
      <c r="BF7" s="20">
        <f t="shared" si="31"/>
        <v>6.386010362694301</v>
      </c>
      <c r="BG7" s="8">
        <v>42</v>
      </c>
      <c r="BH7" s="9">
        <v>5</v>
      </c>
      <c r="BI7" s="10">
        <v>46.7</v>
      </c>
      <c r="BJ7" s="19">
        <f t="shared" si="32"/>
        <v>0.33333333333333331</v>
      </c>
      <c r="BK7" s="19">
        <f t="shared" si="33"/>
        <v>0.22020725388601037</v>
      </c>
      <c r="BL7" s="19">
        <f t="shared" si="34"/>
        <v>0.11312607944732295</v>
      </c>
      <c r="BM7" s="20">
        <f t="shared" si="35"/>
        <v>3.3031088082901556</v>
      </c>
      <c r="BN7" s="8">
        <v>47</v>
      </c>
      <c r="BO7" s="9">
        <v>4</v>
      </c>
      <c r="BP7" s="10">
        <v>51.5</v>
      </c>
      <c r="BQ7" s="19">
        <f t="shared" si="36"/>
        <v>0.12121212121212122</v>
      </c>
      <c r="BR7" s="19">
        <f t="shared" si="37"/>
        <v>0.22020725388601037</v>
      </c>
      <c r="BS7" s="19">
        <f t="shared" si="38"/>
        <v>-9.8995132673889152E-2</v>
      </c>
      <c r="BT7" s="20">
        <f t="shared" si="39"/>
        <v>7.266839378238342</v>
      </c>
      <c r="BU7" s="8">
        <v>52</v>
      </c>
      <c r="BV7" s="9">
        <v>-5</v>
      </c>
      <c r="BW7" s="10">
        <v>47.5</v>
      </c>
      <c r="BX7" s="19">
        <f t="shared" si="40"/>
        <v>-9.4339622641509441E-2</v>
      </c>
      <c r="BY7" s="19">
        <f t="shared" si="41"/>
        <v>0.22020725388601037</v>
      </c>
      <c r="BZ7" s="19">
        <f t="shared" si="42"/>
        <v>-0.31454687652751978</v>
      </c>
      <c r="CA7" s="20">
        <f t="shared" si="43"/>
        <v>11.67098445595855</v>
      </c>
      <c r="CB7" s="8">
        <v>48</v>
      </c>
      <c r="CC7" s="9">
        <v>-6</v>
      </c>
      <c r="CD7" s="10">
        <v>42.7</v>
      </c>
      <c r="CE7" s="19">
        <f t="shared" si="44"/>
        <v>-0.22222222222222221</v>
      </c>
      <c r="CF7" s="19">
        <f t="shared" si="45"/>
        <v>0.22020725388601037</v>
      </c>
      <c r="CG7" s="19">
        <f t="shared" si="46"/>
        <v>-0.44242947610823258</v>
      </c>
      <c r="CH7" s="20">
        <f t="shared" si="47"/>
        <v>5.9455958549222796</v>
      </c>
      <c r="CI7" s="8">
        <v>43</v>
      </c>
      <c r="CJ7" s="9">
        <v>-4</v>
      </c>
      <c r="CK7" s="10">
        <v>39.5</v>
      </c>
      <c r="CL7" s="19">
        <f t="shared" si="48"/>
        <v>0.5</v>
      </c>
      <c r="CM7" s="19">
        <f t="shared" si="49"/>
        <v>0.22020725388601037</v>
      </c>
      <c r="CN7" s="19">
        <f t="shared" si="50"/>
        <v>0.27979274611398963</v>
      </c>
      <c r="CO7" s="20">
        <f t="shared" si="51"/>
        <v>-1.7616580310880829</v>
      </c>
      <c r="CP7" s="8">
        <v>40</v>
      </c>
      <c r="CQ7" s="9">
        <v>-2</v>
      </c>
      <c r="CR7" s="10">
        <v>37.799999999999997</v>
      </c>
      <c r="CS7" s="19">
        <f t="shared" si="52"/>
        <v>-9.5238095238095233E-2</v>
      </c>
      <c r="CT7" s="19">
        <f t="shared" si="53"/>
        <v>0.22020725388601037</v>
      </c>
      <c r="CU7" s="19">
        <f t="shared" si="54"/>
        <v>-0.3154453491241056</v>
      </c>
      <c r="CV7" s="20">
        <f t="shared" si="55"/>
        <v>4.6243523316062181</v>
      </c>
      <c r="CW7" s="8">
        <v>38</v>
      </c>
      <c r="CX7" s="9">
        <v>-2</v>
      </c>
      <c r="CY7" s="10">
        <v>35.9</v>
      </c>
      <c r="CZ7" s="19">
        <f t="shared" si="56"/>
        <v>-0.1</v>
      </c>
      <c r="DA7" s="19">
        <f t="shared" si="57"/>
        <v>0.22020725388601037</v>
      </c>
      <c r="DB7" s="19">
        <f t="shared" si="58"/>
        <v>-0.32020725388601035</v>
      </c>
      <c r="DC7" s="20">
        <f t="shared" si="59"/>
        <v>4.4041450777202069</v>
      </c>
      <c r="DD7" s="8">
        <v>36</v>
      </c>
      <c r="DE7" s="9">
        <v>-3</v>
      </c>
      <c r="DF7" s="10">
        <v>32.700000000000003</v>
      </c>
      <c r="DG7" s="19">
        <f t="shared" si="60"/>
        <v>-0.125</v>
      </c>
      <c r="DH7" s="19">
        <f t="shared" si="61"/>
        <v>0.22020725388601037</v>
      </c>
      <c r="DI7" s="19">
        <f t="shared" si="62"/>
        <v>-0.34520725388601037</v>
      </c>
      <c r="DJ7" s="20">
        <f t="shared" si="63"/>
        <v>5.2849740932642488</v>
      </c>
      <c r="DK7" s="8">
        <v>33</v>
      </c>
      <c r="DL7" s="9">
        <v>1</v>
      </c>
      <c r="DM7" s="10">
        <v>34.4</v>
      </c>
      <c r="DN7" s="19">
        <f t="shared" si="64"/>
        <v>0.125</v>
      </c>
      <c r="DO7" s="19">
        <f t="shared" si="65"/>
        <v>0.22020725388601037</v>
      </c>
      <c r="DP7" s="19">
        <f t="shared" si="66"/>
        <v>-9.5207253886010368E-2</v>
      </c>
      <c r="DQ7" s="20">
        <f t="shared" si="67"/>
        <v>1.7616580310880829</v>
      </c>
      <c r="DR7" s="8">
        <v>34</v>
      </c>
      <c r="DS7" s="9">
        <v>2</v>
      </c>
      <c r="DT7" s="10">
        <v>36.4</v>
      </c>
      <c r="DU7" s="19">
        <f t="shared" si="68"/>
        <v>0.22222222222222221</v>
      </c>
      <c r="DV7" s="19">
        <f t="shared" si="69"/>
        <v>0.22020725388601037</v>
      </c>
      <c r="DW7" s="19">
        <f t="shared" si="70"/>
        <v>2.014968336211842E-3</v>
      </c>
      <c r="DX7" s="20">
        <f t="shared" si="71"/>
        <v>1.9818652849740932</v>
      </c>
      <c r="DY7" s="8">
        <v>36</v>
      </c>
      <c r="DZ7" s="9">
        <v>-4</v>
      </c>
      <c r="EA7" s="10">
        <v>32.5</v>
      </c>
      <c r="EB7" s="19">
        <f t="shared" si="72"/>
        <v>0.22222222222222221</v>
      </c>
      <c r="EC7" s="19">
        <f t="shared" si="73"/>
        <v>0.22020725388601037</v>
      </c>
      <c r="ED7" s="19">
        <f t="shared" si="74"/>
        <v>2.014968336211842E-3</v>
      </c>
      <c r="EE7" s="20">
        <f t="shared" si="75"/>
        <v>-3.9637305699481864</v>
      </c>
      <c r="EF7" s="8">
        <v>33</v>
      </c>
      <c r="EG7" s="9">
        <v>-4</v>
      </c>
      <c r="EH7" s="10">
        <v>28.7</v>
      </c>
      <c r="EI7" s="19">
        <f t="shared" si="76"/>
        <v>0.23529411764705882</v>
      </c>
      <c r="EJ7" s="19">
        <f t="shared" si="77"/>
        <v>0.22020725388601037</v>
      </c>
      <c r="EK7" s="19">
        <f t="shared" si="78"/>
        <v>1.5086863761048452E-2</v>
      </c>
      <c r="EL7" s="20">
        <f t="shared" si="79"/>
        <v>-3.7435233160621761</v>
      </c>
      <c r="EM7" s="8">
        <v>29</v>
      </c>
      <c r="EN7" s="9">
        <v>-1</v>
      </c>
      <c r="EO7" s="10">
        <v>27.9</v>
      </c>
      <c r="EP7" s="19">
        <f t="shared" si="80"/>
        <v>7.6923076923076927E-2</v>
      </c>
      <c r="EQ7" s="19">
        <f t="shared" si="81"/>
        <v>0.22020725388601037</v>
      </c>
      <c r="ER7" s="19">
        <f t="shared" si="82"/>
        <v>-0.14328417696293344</v>
      </c>
      <c r="ES7" s="20">
        <f t="shared" si="83"/>
        <v>-2.8626943005181347</v>
      </c>
      <c r="ET7" s="8">
        <v>28</v>
      </c>
      <c r="EU7" s="9">
        <v>0</v>
      </c>
      <c r="EV7" s="10">
        <v>28</v>
      </c>
      <c r="EW7" s="19">
        <f t="shared" si="84"/>
        <v>0</v>
      </c>
      <c r="EX7" s="19">
        <f t="shared" si="85"/>
        <v>0.22020725388601037</v>
      </c>
      <c r="EY7" s="19">
        <f t="shared" si="86"/>
        <v>-0.22020725388601037</v>
      </c>
      <c r="EZ7" s="20">
        <f t="shared" si="87"/>
        <v>1.1010362694300517</v>
      </c>
      <c r="FA7" s="8">
        <v>28</v>
      </c>
      <c r="FB7" s="9">
        <v>-2</v>
      </c>
      <c r="FC7" s="10">
        <v>25.8</v>
      </c>
      <c r="FD7" s="19">
        <f t="shared" si="88"/>
        <v>0</v>
      </c>
      <c r="FE7" s="19">
        <f t="shared" si="89"/>
        <v>0.22020725388601037</v>
      </c>
      <c r="FF7" s="19">
        <f t="shared" si="90"/>
        <v>-0.22020725388601037</v>
      </c>
      <c r="FG7" s="20">
        <f t="shared" si="91"/>
        <v>0</v>
      </c>
    </row>
    <row r="8" spans="1:163">
      <c r="D8" s="33">
        <f>SUM(D5:D7)</f>
        <v>0</v>
      </c>
      <c r="I8" s="35">
        <f>SUM(I5:I7)</f>
        <v>0</v>
      </c>
      <c r="K8" s="33">
        <f t="shared" ref="K8" si="92">SUM(K5:K7)</f>
        <v>55</v>
      </c>
      <c r="P8" s="35">
        <f t="shared" ref="P8" si="93">SUM(P5:P7)</f>
        <v>14.961139896373059</v>
      </c>
      <c r="R8" s="33">
        <f t="shared" ref="R8" si="94">SUM(R5:R7)</f>
        <v>19</v>
      </c>
      <c r="W8" s="35">
        <f t="shared" ref="W8" si="95">SUM(W5:W7)</f>
        <v>19</v>
      </c>
      <c r="Y8" s="33">
        <f t="shared" ref="Y8" si="96">SUM(Y5:Y7)</f>
        <v>22</v>
      </c>
      <c r="AD8" s="35">
        <f t="shared" ref="AD8" si="97">SUM(AD5:AD7)</f>
        <v>22</v>
      </c>
      <c r="AF8" s="33">
        <f t="shared" ref="AF8" si="98">SUM(AF5:AF7)</f>
        <v>23</v>
      </c>
      <c r="AK8" s="35">
        <f t="shared" ref="AK8" si="99">SUM(AK5:AK7)</f>
        <v>23</v>
      </c>
      <c r="AM8" s="33">
        <f t="shared" ref="AM8" si="100">SUM(AM5:AM7)</f>
        <v>37</v>
      </c>
      <c r="AR8" s="35">
        <f t="shared" ref="AR8" si="101">SUM(AR5:AR7)</f>
        <v>37</v>
      </c>
      <c r="AT8" s="33">
        <f t="shared" ref="AT8" si="102">SUM(AT5:AT7)</f>
        <v>1</v>
      </c>
      <c r="AY8" s="35">
        <f t="shared" ref="AY8" si="103">SUM(AY5:AY7)</f>
        <v>1</v>
      </c>
      <c r="BA8" s="33">
        <f t="shared" ref="BA8" si="104">SUM(BA5:BA7)</f>
        <v>29</v>
      </c>
      <c r="BF8" s="35">
        <f t="shared" ref="BF8" si="105">SUM(BF5:BF7)</f>
        <v>29</v>
      </c>
      <c r="BH8" s="33">
        <f t="shared" ref="BH8" si="106">SUM(BH5:BH7)</f>
        <v>15</v>
      </c>
      <c r="BM8" s="35">
        <f t="shared" ref="BM8" si="107">SUM(BM5:BM7)</f>
        <v>15</v>
      </c>
      <c r="BO8" s="33">
        <f t="shared" ref="BO8" si="108">SUM(BO5:BO7)</f>
        <v>33</v>
      </c>
      <c r="BT8" s="35">
        <f t="shared" ref="BT8" si="109">SUM(BT5:BT7)</f>
        <v>33.000000000000007</v>
      </c>
      <c r="BV8" s="33">
        <f t="shared" ref="BV8" si="110">SUM(BV5:BV7)</f>
        <v>53</v>
      </c>
      <c r="CA8" s="35">
        <f t="shared" ref="CA8" si="111">SUM(CA5:CA7)</f>
        <v>53</v>
      </c>
      <c r="CC8" s="33">
        <f t="shared" ref="CC8" si="112">SUM(CC5:CC7)</f>
        <v>27</v>
      </c>
      <c r="CH8" s="35">
        <f t="shared" ref="CH8" si="113">SUM(CH5:CH7)</f>
        <v>27</v>
      </c>
      <c r="CJ8" s="33">
        <f t="shared" ref="CJ8" si="114">SUM(CJ5:CJ7)</f>
        <v>-8</v>
      </c>
      <c r="CO8" s="35">
        <f t="shared" ref="CO8" si="115">SUM(CO5:CO7)</f>
        <v>-8</v>
      </c>
      <c r="CQ8" s="33">
        <f t="shared" ref="CQ8" si="116">SUM(CQ5:CQ7)</f>
        <v>21</v>
      </c>
      <c r="CV8" s="35">
        <f t="shared" ref="CV8" si="117">SUM(CV5:CV7)</f>
        <v>21</v>
      </c>
      <c r="CX8" s="33">
        <f t="shared" ref="CX8" si="118">SUM(CX5:CX7)</f>
        <v>20</v>
      </c>
      <c r="DC8" s="35">
        <f t="shared" ref="DC8" si="119">SUM(DC5:DC7)</f>
        <v>20</v>
      </c>
      <c r="DE8" s="33">
        <f t="shared" ref="DE8" si="120">SUM(DE5:DE7)</f>
        <v>24</v>
      </c>
      <c r="DJ8" s="35">
        <f t="shared" ref="DJ8" si="121">SUM(DJ5:DJ7)</f>
        <v>24.000000000000004</v>
      </c>
      <c r="DL8" s="33">
        <f t="shared" ref="DL8" si="122">SUM(DL5:DL7)</f>
        <v>8</v>
      </c>
      <c r="DQ8" s="35">
        <f t="shared" ref="DQ8" si="123">SUM(DQ5:DQ7)</f>
        <v>8</v>
      </c>
      <c r="DS8" s="33">
        <f t="shared" ref="DS8" si="124">SUM(DS5:DS7)</f>
        <v>9</v>
      </c>
      <c r="DX8" s="35">
        <f t="shared" ref="DX8" si="125">SUM(DX5:DX7)</f>
        <v>9</v>
      </c>
      <c r="DZ8" s="33">
        <f t="shared" ref="DZ8" si="126">SUM(DZ5:DZ7)</f>
        <v>-18</v>
      </c>
      <c r="EE8" s="35">
        <f t="shared" ref="EE8" si="127">SUM(EE5:EE7)</f>
        <v>-18</v>
      </c>
      <c r="EG8" s="33">
        <f t="shared" ref="EG8" si="128">SUM(EG5:EG7)</f>
        <v>-17</v>
      </c>
      <c r="EL8" s="35">
        <f t="shared" ref="EL8" si="129">SUM(EL5:EL7)</f>
        <v>-17</v>
      </c>
      <c r="EN8" s="33">
        <f t="shared" ref="EN8" si="130">SUM(EN5:EN7)</f>
        <v>-13</v>
      </c>
      <c r="ES8" s="35">
        <f t="shared" ref="ES8" si="131">SUM(ES5:ES7)</f>
        <v>-13</v>
      </c>
      <c r="EU8" s="33">
        <f t="shared" ref="EU8" si="132">SUM(EU5:EU7)</f>
        <v>5</v>
      </c>
      <c r="EZ8" s="35">
        <f t="shared" ref="EZ8" si="133">SUM(EZ5:EZ7)</f>
        <v>5</v>
      </c>
      <c r="FB8" s="33">
        <f>SUM(FB5:FB7)</f>
        <v>0</v>
      </c>
      <c r="FG8" s="35">
        <f t="shared" ref="FG8" si="134">SUM(FG5:FG7)</f>
        <v>0</v>
      </c>
    </row>
    <row r="10" spans="1:163">
      <c r="A10" s="50" t="s">
        <v>20</v>
      </c>
      <c r="B10" s="50"/>
      <c r="I10" s="38">
        <f>I5-D5</f>
        <v>0</v>
      </c>
      <c r="P10" s="38">
        <f t="shared" ref="P10" si="135">P5-K5</f>
        <v>2.9611398963730586</v>
      </c>
      <c r="W10" s="38">
        <f t="shared" ref="W10" si="136">W5-R5</f>
        <v>4.1683937823834203</v>
      </c>
      <c r="AD10" s="38">
        <f t="shared" ref="AD10" si="137">AD5-Y5</f>
        <v>0.98445595854922363</v>
      </c>
      <c r="AK10" s="38">
        <f t="shared" ref="AK10" si="138">AK5-AF5</f>
        <v>-0.74352331606217525</v>
      </c>
      <c r="AR10" s="38">
        <f t="shared" ref="AR10" si="139">AR5-AM5</f>
        <v>2.0647668393782386</v>
      </c>
      <c r="AY10" s="38">
        <f t="shared" ref="AY10" si="140">AY5-AT5</f>
        <v>-0.72797927461139889</v>
      </c>
      <c r="BF10" s="38">
        <f t="shared" ref="BF10" si="141">BF5-BA5</f>
        <v>1.8886010362694305</v>
      </c>
      <c r="BM10" s="38">
        <f t="shared" ref="BM10" si="142">BM5-BH5</f>
        <v>3.0803108808290158</v>
      </c>
      <c r="BT10" s="38">
        <f t="shared" ref="BT10" si="143">BT5-BO5</f>
        <v>2.9766839378238341</v>
      </c>
      <c r="CA10" s="38">
        <f t="shared" ref="CA10" si="144">CA5-BV5</f>
        <v>13.417098445595856</v>
      </c>
      <c r="CH10" s="38">
        <f t="shared" ref="CH10" si="145">CH5-CC5</f>
        <v>14.344559585492227</v>
      </c>
      <c r="CO10" s="38">
        <f t="shared" ref="CO10" si="146">CO5-CJ5</f>
        <v>1.8238341968911915</v>
      </c>
      <c r="CV10" s="38">
        <f t="shared" ref="CV10" si="147">CV5-CQ5</f>
        <v>7.7124352331606225</v>
      </c>
      <c r="DC10" s="38">
        <f t="shared" ref="DC10" si="148">DC5-CX5</f>
        <v>8.4404145077720223</v>
      </c>
      <c r="DJ10" s="38">
        <f t="shared" ref="DJ10" si="149">DJ5-DE5</f>
        <v>11.528497409326425</v>
      </c>
      <c r="DQ10" s="38">
        <f t="shared" ref="DQ10" si="150">DQ5-DL5</f>
        <v>0.17616580310880847</v>
      </c>
      <c r="DX10" s="38">
        <f t="shared" ref="DX10" si="151">DX5-DS5</f>
        <v>0.44818652849740959</v>
      </c>
      <c r="EE10" s="38">
        <f t="shared" ref="EE10" si="152">EE5-DZ5</f>
        <v>0.10362694300518083</v>
      </c>
      <c r="EL10" s="38">
        <f t="shared" ref="EL10" si="153">EL5-EG5</f>
        <v>0.37564766839378194</v>
      </c>
      <c r="ES10" s="38">
        <f t="shared" ref="ES10" si="154">ES5-EN5</f>
        <v>-1.5362694300518136</v>
      </c>
      <c r="EZ10" s="38">
        <f t="shared" ref="EZ10" si="155">EZ5-EU5</f>
        <v>1.3601036269430054</v>
      </c>
      <c r="FG10" s="38">
        <f t="shared" ref="FG10" si="156">FG5-FB5</f>
        <v>3</v>
      </c>
    </row>
    <row r="11" spans="1:163">
      <c r="A11" s="50" t="s">
        <v>21</v>
      </c>
      <c r="B11" s="50"/>
      <c r="I11" s="39">
        <f>J3-C3</f>
        <v>2.9166666666666674E-2</v>
      </c>
      <c r="P11" s="39">
        <f t="shared" ref="P11" si="157">Q3-J3</f>
        <v>4.8611111111111494E-3</v>
      </c>
      <c r="W11" s="39">
        <f t="shared" ref="W11" si="158">X3-Q3</f>
        <v>3.4722222222222099E-3</v>
      </c>
      <c r="AD11" s="39">
        <f t="shared" ref="AD11" si="159">AE3-X3</f>
        <v>6.9444444444444198E-3</v>
      </c>
      <c r="AK11" s="39">
        <f t="shared" ref="AK11" si="160">AL3-AE3</f>
        <v>1.0416666666666685E-2</v>
      </c>
      <c r="AR11" s="39">
        <f t="shared" ref="AR11" si="161">AS3-AL3</f>
        <v>1.5277777777777779E-2</v>
      </c>
      <c r="AY11" s="39">
        <f t="shared" ref="AY11" si="162">AZ3-AS3</f>
        <v>6.2499999999999778E-3</v>
      </c>
      <c r="BF11" s="39">
        <f t="shared" ref="BF11" si="163">BG3-AZ3</f>
        <v>2.2916666666666696E-2</v>
      </c>
      <c r="BM11" s="39">
        <f t="shared" ref="BM11" si="164">BN3-BG3</f>
        <v>1.9444444444444431E-2</v>
      </c>
      <c r="BT11" s="39">
        <f t="shared" ref="BT11" si="165">BU3-BN3</f>
        <v>5.2777777777777757E-2</v>
      </c>
      <c r="CA11" s="39">
        <f t="shared" ref="CA11" si="166">CB3-BU3</f>
        <v>3.819444444444442E-2</v>
      </c>
      <c r="CH11" s="39">
        <f t="shared" ref="CH11" si="167">CI3-CB3</f>
        <v>6.0416666666666674E-2</v>
      </c>
      <c r="CO11" s="39">
        <f t="shared" ref="CO11" si="168">CP3-CI3</f>
        <v>1.8055555555555602E-2</v>
      </c>
      <c r="CV11" s="39">
        <f t="shared" ref="CV11" si="169">CW3-CP3</f>
        <v>7.6388888888888618E-3</v>
      </c>
      <c r="DC11" s="39">
        <f t="shared" ref="DC11" si="170">DD3-CW3</f>
        <v>1.5277777777777835E-2</v>
      </c>
      <c r="DJ11" s="39">
        <f t="shared" ref="DJ11" si="171">DK3-DD3</f>
        <v>6.4583333333333326E-2</v>
      </c>
      <c r="DQ11" s="39">
        <f t="shared" ref="DQ11" si="172">DR3-DK3</f>
        <v>9.7222222222221877E-3</v>
      </c>
      <c r="DX11" s="39">
        <f t="shared" ref="DX11" si="173">DY3-DR3</f>
        <v>3.1944444444444442E-2</v>
      </c>
      <c r="EE11" s="39">
        <f t="shared" ref="EE11" si="174">EF3-DY3</f>
        <v>1.1111111111111072E-2</v>
      </c>
      <c r="EL11" s="39">
        <f t="shared" ref="EL11" si="175">EM3-EF3</f>
        <v>1.9444444444444486E-2</v>
      </c>
      <c r="ES11" s="39">
        <f t="shared" ref="ES11" si="176">ET3-EM3</f>
        <v>2.9166666666666674E-2</v>
      </c>
      <c r="EZ11" s="39">
        <f t="shared" ref="EZ11" si="177">FA3-ET3</f>
        <v>6.2499999999999778E-3</v>
      </c>
      <c r="FG11" s="39">
        <f>FH3-FG3</f>
        <v>0</v>
      </c>
    </row>
    <row r="12" spans="1:163">
      <c r="A12" s="36" t="s">
        <v>1</v>
      </c>
      <c r="B12" s="36">
        <f>SUM(C12:HB12)</f>
        <v>4.4131074889656514E-2</v>
      </c>
      <c r="I12" s="40">
        <f>(I10*I11)/60</f>
        <v>0</v>
      </c>
      <c r="P12" s="40">
        <f t="shared" ref="P12" si="178">(P10*P11)/60</f>
        <v>2.3990716753022654E-4</v>
      </c>
      <c r="W12" s="40">
        <f t="shared" ref="W12" si="179">(W10*W11)/60</f>
        <v>2.4122649203607669E-4</v>
      </c>
      <c r="AD12" s="40">
        <f t="shared" ref="AD12" si="180">(AD10*AD11)/60</f>
        <v>1.139416618691227E-4</v>
      </c>
      <c r="AK12" s="40">
        <f t="shared" ref="AK12" si="181">(AK10*AK11)/60</f>
        <v>-1.2908390903857233E-4</v>
      </c>
      <c r="AR12" s="40">
        <f t="shared" ref="AR12" si="182">(AR10*AR11)/60</f>
        <v>5.2575081558242187E-4</v>
      </c>
      <c r="AY12" s="40">
        <f t="shared" ref="AY12" si="183">(AY10*AY11)/60</f>
        <v>-7.5831174438687114E-5</v>
      </c>
      <c r="BF12" s="40">
        <f t="shared" ref="BF12" si="184">(BF10*BF11)/60</f>
        <v>7.2134067357513068E-4</v>
      </c>
      <c r="BM12" s="40">
        <f t="shared" ref="BM12" si="185">(BM10*BM11)/60</f>
        <v>9.982488965649581E-4</v>
      </c>
      <c r="BT12" s="40">
        <f t="shared" ref="BT12" si="186">(BT10*BT11)/60</f>
        <v>2.6183793897524453E-3</v>
      </c>
      <c r="CA12" s="40">
        <f t="shared" ref="CA12" si="187">(CA10*CA11)/60</f>
        <v>8.5409770197658764E-3</v>
      </c>
      <c r="CH12" s="40">
        <f t="shared" ref="CH12" si="188">(CH10*CH11)/60</f>
        <v>1.4444174582613703E-2</v>
      </c>
      <c r="CO12" s="40">
        <f t="shared" ref="CO12" si="189">(CO10*CO11)/60</f>
        <v>5.4883899443485082E-4</v>
      </c>
      <c r="CV12" s="40">
        <f t="shared" ref="CV12" si="190">(CV10*CV11)/60</f>
        <v>9.8190726348109433E-4</v>
      </c>
      <c r="DC12" s="40">
        <f t="shared" ref="DC12" si="191">(DC10*DC11)/60</f>
        <v>2.1491796200345508E-3</v>
      </c>
      <c r="DJ12" s="40">
        <f t="shared" ref="DJ12" si="192">(DJ10*DJ11)/60</f>
        <v>1.2409146516983303E-2</v>
      </c>
      <c r="DQ12" s="40">
        <f t="shared" ref="DQ12" si="193">(DQ10*DQ11)/60</f>
        <v>2.8545384763001274E-5</v>
      </c>
      <c r="DX12" s="40">
        <f t="shared" ref="DX12" si="194">(DX10*DX11)/60</f>
        <v>2.3861782767223194E-4</v>
      </c>
      <c r="EE12" s="40">
        <f t="shared" ref="EE12" si="195">(EE10*EE11)/60</f>
        <v>1.9190174630588975E-5</v>
      </c>
      <c r="EL12" s="40">
        <f t="shared" ref="EL12" si="196">(EL10*EL11)/60</f>
        <v>1.2173767031279995E-4</v>
      </c>
      <c r="ES12" s="40">
        <f t="shared" ref="ES12" si="197">(ES10*ES11)/60</f>
        <v>-7.4679763960852077E-4</v>
      </c>
      <c r="EZ12" s="40">
        <f t="shared" ref="EZ12" si="198">(EZ10*EZ11)/60</f>
        <v>1.416774611398959E-4</v>
      </c>
      <c r="FG12" s="40">
        <f t="shared" ref="FG12" si="199">(FG10*FG11)/60</f>
        <v>0</v>
      </c>
    </row>
    <row r="13" spans="1:163">
      <c r="A13" t="s">
        <v>2</v>
      </c>
      <c r="B13" s="37">
        <v>80</v>
      </c>
    </row>
    <row r="14" spans="1:163">
      <c r="A14" t="s">
        <v>3</v>
      </c>
      <c r="B14" s="37">
        <f>B12*B13</f>
        <v>3.530485991172521</v>
      </c>
    </row>
    <row r="15" spans="1:163" ht="30">
      <c r="A15" s="22" t="s">
        <v>22</v>
      </c>
      <c r="B15" s="23" t="s">
        <v>23</v>
      </c>
      <c r="C15" s="22" t="s">
        <v>24</v>
      </c>
    </row>
    <row r="16" spans="1:163">
      <c r="A16" s="24">
        <v>105</v>
      </c>
      <c r="B16" s="25" t="s">
        <v>17</v>
      </c>
      <c r="C16" s="26">
        <f>A16/$A$19</f>
        <v>0.27202072538860106</v>
      </c>
    </row>
    <row r="17" spans="1:3">
      <c r="A17" s="24">
        <v>196</v>
      </c>
      <c r="B17" s="25" t="s">
        <v>18</v>
      </c>
      <c r="C17" s="26">
        <f>A17/$A$19</f>
        <v>0.50777202072538863</v>
      </c>
    </row>
    <row r="18" spans="1:3">
      <c r="A18" s="24">
        <v>85</v>
      </c>
      <c r="B18" s="25" t="s">
        <v>19</v>
      </c>
      <c r="C18" s="26">
        <f>A18/$A$19</f>
        <v>0.22020725388601037</v>
      </c>
    </row>
    <row r="19" spans="1:3">
      <c r="A19" s="27">
        <f>SUM(A16:A18)</f>
        <v>386</v>
      </c>
      <c r="B19" s="28"/>
      <c r="C19" s="29"/>
    </row>
    <row r="114" spans="3:26">
      <c r="C114" s="17">
        <v>0.30208333333333331</v>
      </c>
      <c r="D114" s="17">
        <v>0.33124999999999999</v>
      </c>
      <c r="E114" s="17">
        <v>0.33611111111111114</v>
      </c>
      <c r="F114" s="17">
        <v>0.33958333333333335</v>
      </c>
      <c r="G114" s="17">
        <v>0.34652777777777777</v>
      </c>
      <c r="H114" s="17">
        <v>0.35694444444444445</v>
      </c>
      <c r="I114" s="17">
        <v>0.37222222222222223</v>
      </c>
      <c r="J114" s="17">
        <v>0.37847222222222221</v>
      </c>
      <c r="K114" s="17">
        <v>0.40138888888888891</v>
      </c>
      <c r="L114" s="17">
        <v>0.42083333333333334</v>
      </c>
      <c r="M114" s="17">
        <v>0.47361111111111109</v>
      </c>
      <c r="N114" s="17">
        <v>0.51180555555555551</v>
      </c>
      <c r="O114" s="17">
        <v>0.57222222222222219</v>
      </c>
      <c r="P114" s="17">
        <v>0.59027777777777779</v>
      </c>
      <c r="Q114" s="17">
        <v>0.59791666666666665</v>
      </c>
      <c r="R114" s="17">
        <v>0.61319444444444449</v>
      </c>
      <c r="S114" s="17">
        <v>0.67777777777777781</v>
      </c>
      <c r="T114" s="17">
        <v>0.6875</v>
      </c>
      <c r="U114" s="17">
        <v>0.71944444444444444</v>
      </c>
      <c r="V114" s="17">
        <v>0.73055555555555551</v>
      </c>
      <c r="W114" s="17">
        <v>0.75</v>
      </c>
      <c r="X114" s="17">
        <v>0.77916666666666667</v>
      </c>
      <c r="Y114" s="17">
        <v>0.78541666666666665</v>
      </c>
      <c r="Z114" s="17"/>
    </row>
    <row r="115" spans="3:26">
      <c r="C115" s="33">
        <f>E5</f>
        <v>6.5</v>
      </c>
      <c r="D115" s="33">
        <f>L5</f>
        <v>18.899999999999999</v>
      </c>
      <c r="E115" s="33">
        <f>S5</f>
        <v>20.2</v>
      </c>
      <c r="F115" s="33">
        <f>Z5</f>
        <v>24.9</v>
      </c>
      <c r="G115" s="33">
        <f>AG5</f>
        <v>32.6</v>
      </c>
      <c r="H115" s="33">
        <f>AN5</f>
        <v>41.5</v>
      </c>
      <c r="I115" s="33">
        <f>AU5</f>
        <v>43</v>
      </c>
      <c r="J115" s="33">
        <f>BB5</f>
        <v>53.9</v>
      </c>
      <c r="K115" s="33">
        <f>BI5</f>
        <v>59.4</v>
      </c>
      <c r="L115" s="33">
        <f>BP5</f>
        <v>65.5</v>
      </c>
      <c r="M115" s="33">
        <f>BW5</f>
        <v>60.5</v>
      </c>
      <c r="N115" s="33">
        <f>CD5</f>
        <v>54.3</v>
      </c>
      <c r="O115" s="33">
        <f>CK5</f>
        <v>50.2</v>
      </c>
      <c r="P115" s="33">
        <f>CR5</f>
        <v>48.1</v>
      </c>
      <c r="Q115" s="33">
        <f>CY5</f>
        <v>45.6</v>
      </c>
      <c r="R115" s="33">
        <f>DF5</f>
        <v>41.6</v>
      </c>
      <c r="S115" s="33">
        <f>DM5</f>
        <v>43.7</v>
      </c>
      <c r="T115" s="33">
        <f>DT5</f>
        <v>46.3</v>
      </c>
      <c r="U115" s="33">
        <f>EA5</f>
        <v>41.3</v>
      </c>
      <c r="V115" s="33">
        <f>EH5</f>
        <v>36.5</v>
      </c>
      <c r="W115" s="33">
        <f>EO5</f>
        <v>35.4</v>
      </c>
      <c r="X115" s="33">
        <f>EV5</f>
        <v>35.6</v>
      </c>
      <c r="Y115" s="33">
        <f>FC5</f>
        <v>32.799999999999997</v>
      </c>
      <c r="Z115" s="33"/>
    </row>
    <row r="116" spans="3:26">
      <c r="C116" s="33">
        <f>E6</f>
        <v>4.5</v>
      </c>
      <c r="D116" s="33">
        <f>L6</f>
        <v>34.299999999999997</v>
      </c>
      <c r="E116" s="33">
        <f>S6</f>
        <v>36.700000000000003</v>
      </c>
      <c r="F116" s="33">
        <f>Z6</f>
        <v>45.1</v>
      </c>
      <c r="G116" s="33">
        <f>AG6</f>
        <v>56.4</v>
      </c>
      <c r="H116" s="33">
        <f>AN6</f>
        <v>71.099999999999994</v>
      </c>
      <c r="I116" s="33">
        <f>AU6</f>
        <v>77.900000000000006</v>
      </c>
      <c r="J116" s="33">
        <f>BB6</f>
        <v>96.9</v>
      </c>
      <c r="K116" s="33">
        <f>BI6</f>
        <v>107.7</v>
      </c>
      <c r="L116" s="33">
        <f>BP6</f>
        <v>118.7</v>
      </c>
      <c r="M116" s="33">
        <f>BW6</f>
        <v>109.6</v>
      </c>
      <c r="N116" s="33">
        <f>CD6</f>
        <v>98.4</v>
      </c>
      <c r="O116" s="33">
        <f>CK6</f>
        <v>91</v>
      </c>
      <c r="P116" s="33">
        <f>CR6</f>
        <v>87.2</v>
      </c>
      <c r="Q116" s="33">
        <f>CY6</f>
        <v>82.7</v>
      </c>
      <c r="R116" s="33">
        <f>DF6</f>
        <v>75.400000000000006</v>
      </c>
      <c r="S116" s="33">
        <f>DM6</f>
        <v>79.3</v>
      </c>
      <c r="T116" s="33">
        <f>DT6</f>
        <v>83.9</v>
      </c>
      <c r="U116" s="33">
        <f>EA6</f>
        <v>74.900000000000006</v>
      </c>
      <c r="V116" s="33">
        <f>EH6</f>
        <v>66.3</v>
      </c>
      <c r="W116" s="33">
        <f>EO6</f>
        <v>64.2</v>
      </c>
      <c r="X116" s="33">
        <f>EV6</f>
        <v>38.5</v>
      </c>
      <c r="Y116" s="33">
        <f>FC6</f>
        <v>29.9</v>
      </c>
      <c r="Z116" s="33"/>
    </row>
    <row r="117" spans="3:26">
      <c r="C117" s="33">
        <f>E7</f>
        <v>1.6</v>
      </c>
      <c r="D117" s="33">
        <f>L7</f>
        <v>14.9</v>
      </c>
      <c r="E117" s="33">
        <f>S7</f>
        <v>15.9</v>
      </c>
      <c r="F117" s="33">
        <f>Z7</f>
        <v>19.600000000000001</v>
      </c>
      <c r="G117" s="33">
        <f>AG7</f>
        <v>25.6</v>
      </c>
      <c r="H117" s="33">
        <f>AN7</f>
        <v>32.6</v>
      </c>
      <c r="I117" s="33">
        <f>AU7</f>
        <v>33.799999999999997</v>
      </c>
      <c r="J117" s="33">
        <f>BB7</f>
        <v>42.4</v>
      </c>
      <c r="K117" s="33">
        <f>BI7</f>
        <v>46.7</v>
      </c>
      <c r="L117" s="33">
        <f>BP7</f>
        <v>51.5</v>
      </c>
      <c r="M117" s="33">
        <f>BW7</f>
        <v>47.5</v>
      </c>
      <c r="N117" s="33">
        <f>CD7</f>
        <v>42.7</v>
      </c>
      <c r="O117" s="33">
        <f>CK7</f>
        <v>39.5</v>
      </c>
      <c r="P117" s="33">
        <f>CR7</f>
        <v>37.799999999999997</v>
      </c>
      <c r="Q117" s="33">
        <f>CY7</f>
        <v>35.9</v>
      </c>
      <c r="R117" s="33">
        <f>DF7</f>
        <v>32.700000000000003</v>
      </c>
      <c r="S117" s="33">
        <f>DM7</f>
        <v>34.4</v>
      </c>
      <c r="T117" s="33">
        <f>DT7</f>
        <v>36.4</v>
      </c>
      <c r="U117" s="33">
        <f>EA7</f>
        <v>32.5</v>
      </c>
      <c r="V117" s="33">
        <f>EH7</f>
        <v>28.7</v>
      </c>
      <c r="W117" s="33">
        <f>EO7</f>
        <v>27.9</v>
      </c>
      <c r="X117" s="33">
        <f>EV7</f>
        <v>28</v>
      </c>
      <c r="Y117" s="33">
        <f>FC7</f>
        <v>25.8</v>
      </c>
      <c r="Z117" s="33"/>
    </row>
  </sheetData>
  <mergeCells count="27">
    <mergeCell ref="ET3:EZ3"/>
    <mergeCell ref="FA3:FG3"/>
    <mergeCell ref="A11:B11"/>
    <mergeCell ref="AZ3:BF3"/>
    <mergeCell ref="BG3:BM3"/>
    <mergeCell ref="A10:B10"/>
    <mergeCell ref="A3:A4"/>
    <mergeCell ref="DR3:DT3"/>
    <mergeCell ref="B3:B4"/>
    <mergeCell ref="CB3:CD3"/>
    <mergeCell ref="C3:I3"/>
    <mergeCell ref="J3:P3"/>
    <mergeCell ref="Q3:W3"/>
    <mergeCell ref="X3:AD3"/>
    <mergeCell ref="AE3:AK3"/>
    <mergeCell ref="AL3:AR3"/>
    <mergeCell ref="DD3:DJ3"/>
    <mergeCell ref="DK3:DQ3"/>
    <mergeCell ref="DY3:EE3"/>
    <mergeCell ref="EF3:EL3"/>
    <mergeCell ref="AS3:AY3"/>
    <mergeCell ref="EM3:ES3"/>
    <mergeCell ref="BN3:BT3"/>
    <mergeCell ref="BU3:CA3"/>
    <mergeCell ref="CI3:CO3"/>
    <mergeCell ref="CP3:CV3"/>
    <mergeCell ref="CW3:DC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I117"/>
  <sheetViews>
    <sheetView topLeftCell="A10" workbookViewId="0">
      <selection activeCell="B97" sqref="B97"/>
    </sheetView>
  </sheetViews>
  <sheetFormatPr defaultColWidth="9.140625" defaultRowHeight="15"/>
  <cols>
    <col min="1" max="1" width="15" customWidth="1"/>
    <col min="2" max="2" width="25" customWidth="1"/>
    <col min="3" max="183" width="14" customWidth="1"/>
    <col min="184" max="184" width="16.7109375" customWidth="1"/>
    <col min="185" max="187" width="14" customWidth="1"/>
  </cols>
  <sheetData>
    <row r="1" spans="1:191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191" ht="27" customHeight="1" thickBot="1">
      <c r="A2" s="2"/>
    </row>
    <row r="3" spans="1:191" ht="16.5" thickBot="1">
      <c r="A3" s="63" t="s">
        <v>5</v>
      </c>
      <c r="B3" s="64" t="s">
        <v>6</v>
      </c>
      <c r="C3" s="55">
        <v>0.30833333333333335</v>
      </c>
      <c r="D3" s="56"/>
      <c r="E3" s="56"/>
      <c r="F3" s="56"/>
      <c r="G3" s="56"/>
      <c r="H3" s="56"/>
      <c r="I3" s="57"/>
      <c r="J3" s="52">
        <v>0.32361111111111113</v>
      </c>
      <c r="K3" s="53"/>
      <c r="L3" s="53"/>
      <c r="M3" s="53"/>
      <c r="N3" s="53"/>
      <c r="O3" s="53"/>
      <c r="P3" s="54"/>
      <c r="Q3" s="55">
        <v>0.33750000000000002</v>
      </c>
      <c r="R3" s="56"/>
      <c r="S3" s="56"/>
      <c r="T3" s="56"/>
      <c r="U3" s="56"/>
      <c r="V3" s="56"/>
      <c r="W3" s="57"/>
      <c r="X3" s="52">
        <v>0.34791666666666665</v>
      </c>
      <c r="Y3" s="53"/>
      <c r="Z3" s="53"/>
      <c r="AA3" s="53"/>
      <c r="AB3" s="53"/>
      <c r="AC3" s="53"/>
      <c r="AD3" s="54"/>
      <c r="AE3" s="55">
        <v>0.36805555555555558</v>
      </c>
      <c r="AF3" s="56"/>
      <c r="AG3" s="56"/>
      <c r="AH3" s="56"/>
      <c r="AI3" s="56"/>
      <c r="AJ3" s="56"/>
      <c r="AK3" s="57"/>
      <c r="AL3" s="55">
        <v>0.45555555555555555</v>
      </c>
      <c r="AM3" s="56"/>
      <c r="AN3" s="56"/>
      <c r="AO3" s="56"/>
      <c r="AP3" s="56"/>
      <c r="AQ3" s="56"/>
      <c r="AR3" s="57"/>
      <c r="AS3" s="52">
        <v>0.46527777777777779</v>
      </c>
      <c r="AT3" s="53"/>
      <c r="AU3" s="53"/>
      <c r="AV3" s="53"/>
      <c r="AW3" s="53"/>
      <c r="AX3" s="53"/>
      <c r="AY3" s="54"/>
      <c r="AZ3" s="60">
        <v>0.51458333333333328</v>
      </c>
      <c r="BA3" s="61"/>
      <c r="BB3" s="61"/>
      <c r="BC3" s="61"/>
      <c r="BD3" s="61"/>
      <c r="BE3" s="61"/>
      <c r="BF3" s="62"/>
      <c r="BG3" s="52">
        <v>0.51875000000000004</v>
      </c>
      <c r="BH3" s="53"/>
      <c r="BI3" s="53"/>
      <c r="BJ3" s="53"/>
      <c r="BK3" s="53"/>
      <c r="BL3" s="53"/>
      <c r="BM3" s="54"/>
      <c r="BN3" s="60">
        <v>0.54652777777777772</v>
      </c>
      <c r="BO3" s="61"/>
      <c r="BP3" s="61"/>
      <c r="BQ3" s="61"/>
      <c r="BR3" s="61"/>
      <c r="BS3" s="61"/>
      <c r="BT3" s="62"/>
      <c r="BU3" s="52">
        <v>0.55902777777777779</v>
      </c>
      <c r="BV3" s="53"/>
      <c r="BW3" s="53"/>
      <c r="BX3" s="53"/>
      <c r="BY3" s="53"/>
      <c r="BZ3" s="53"/>
      <c r="CA3" s="54"/>
      <c r="CB3" s="60">
        <v>0.56180555555555556</v>
      </c>
      <c r="CC3" s="61"/>
      <c r="CD3" s="61"/>
      <c r="CE3" s="61"/>
      <c r="CF3" s="61"/>
      <c r="CG3" s="61"/>
      <c r="CH3" s="62"/>
      <c r="CI3" s="52">
        <v>0.57916666666666672</v>
      </c>
      <c r="CJ3" s="53"/>
      <c r="CK3" s="53"/>
      <c r="CL3" s="53"/>
      <c r="CM3" s="53"/>
      <c r="CN3" s="53"/>
      <c r="CO3" s="54"/>
      <c r="CP3" s="60">
        <v>0.59027777777777779</v>
      </c>
      <c r="CQ3" s="61"/>
      <c r="CR3" s="61"/>
      <c r="CS3" s="61"/>
      <c r="CT3" s="61"/>
      <c r="CU3" s="61"/>
      <c r="CV3" s="62"/>
      <c r="CW3" s="52">
        <v>0.59930555555555554</v>
      </c>
      <c r="CX3" s="53"/>
      <c r="CY3" s="53"/>
      <c r="CZ3" s="53"/>
      <c r="DA3" s="53"/>
      <c r="DB3" s="53"/>
      <c r="DC3" s="54"/>
      <c r="DD3" s="60">
        <v>0.62152777777777779</v>
      </c>
      <c r="DE3" s="61"/>
      <c r="DF3" s="61"/>
      <c r="DG3" s="61"/>
      <c r="DH3" s="61"/>
      <c r="DI3" s="61"/>
      <c r="DJ3" s="62"/>
      <c r="DK3" s="52">
        <v>0.64097222222222228</v>
      </c>
      <c r="DL3" s="53"/>
      <c r="DM3" s="53"/>
      <c r="DN3" s="53"/>
      <c r="DO3" s="53"/>
      <c r="DP3" s="53"/>
      <c r="DQ3" s="54"/>
      <c r="DR3" s="60">
        <v>0.67291666666666672</v>
      </c>
      <c r="DS3" s="61"/>
      <c r="DT3" s="61"/>
      <c r="DU3" s="61"/>
      <c r="DV3" s="61"/>
      <c r="DW3" s="61"/>
      <c r="DX3" s="62"/>
      <c r="DY3" s="52">
        <v>0.68194444444444446</v>
      </c>
      <c r="DZ3" s="53"/>
      <c r="EA3" s="53"/>
      <c r="EB3" s="53"/>
      <c r="EC3" s="53"/>
      <c r="ED3" s="53"/>
      <c r="EE3" s="54"/>
      <c r="EF3" s="60">
        <v>0.69444444444444442</v>
      </c>
      <c r="EG3" s="61"/>
      <c r="EH3" s="61"/>
      <c r="EI3" s="61"/>
      <c r="EJ3" s="61"/>
      <c r="EK3" s="61"/>
      <c r="EL3" s="62"/>
      <c r="EM3" s="52">
        <v>0.72569444444444442</v>
      </c>
      <c r="EN3" s="53"/>
      <c r="EO3" s="53"/>
      <c r="EP3" s="53"/>
      <c r="EQ3" s="53"/>
      <c r="ER3" s="53"/>
      <c r="ES3" s="54"/>
      <c r="ET3" s="60">
        <v>0.74513888888888891</v>
      </c>
      <c r="EU3" s="61"/>
      <c r="EV3" s="61"/>
      <c r="EW3" s="61"/>
      <c r="EX3" s="61"/>
      <c r="EY3" s="61"/>
      <c r="EZ3" s="62"/>
      <c r="FA3" s="52">
        <v>0.75138888888888888</v>
      </c>
      <c r="FB3" s="53"/>
      <c r="FC3" s="53"/>
      <c r="FD3" s="53"/>
      <c r="FE3" s="53"/>
      <c r="FF3" s="53"/>
      <c r="FG3" s="54"/>
      <c r="FH3" s="60">
        <v>0.77430555555555558</v>
      </c>
      <c r="FI3" s="61"/>
      <c r="FJ3" s="61"/>
      <c r="FK3" s="61"/>
      <c r="FL3" s="61"/>
      <c r="FM3" s="61"/>
      <c r="FN3" s="62"/>
      <c r="FO3" s="52">
        <v>0.78055555555555556</v>
      </c>
      <c r="FP3" s="53"/>
      <c r="FQ3" s="53"/>
      <c r="FR3" s="53"/>
      <c r="FS3" s="53"/>
      <c r="FT3" s="53"/>
      <c r="FU3" s="54"/>
      <c r="FV3" s="60">
        <v>0.78541666666666665</v>
      </c>
      <c r="FW3" s="61"/>
      <c r="FX3" s="61"/>
      <c r="FY3" s="61"/>
      <c r="FZ3" s="61"/>
      <c r="GA3" s="61"/>
      <c r="GB3" s="62"/>
      <c r="GC3" s="52">
        <v>0.79513888888888884</v>
      </c>
      <c r="GD3" s="53"/>
      <c r="GE3" s="53"/>
      <c r="GF3" s="53"/>
      <c r="GG3" s="53"/>
      <c r="GH3" s="53"/>
      <c r="GI3" s="54"/>
    </row>
    <row r="4" spans="1:191" ht="77.25" thickBot="1">
      <c r="A4" s="68"/>
      <c r="B4" s="68"/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1" t="s">
        <v>7</v>
      </c>
      <c r="K4" s="31" t="s">
        <v>8</v>
      </c>
      <c r="L4" s="31" t="s">
        <v>9</v>
      </c>
      <c r="M4" s="32" t="s">
        <v>10</v>
      </c>
      <c r="N4" s="32" t="s">
        <v>11</v>
      </c>
      <c r="O4" s="32" t="s">
        <v>12</v>
      </c>
      <c r="P4" s="32" t="s">
        <v>13</v>
      </c>
      <c r="Q4" s="34" t="s">
        <v>7</v>
      </c>
      <c r="R4" s="34" t="s">
        <v>8</v>
      </c>
      <c r="S4" s="34" t="s">
        <v>9</v>
      </c>
      <c r="T4" s="30" t="s">
        <v>10</v>
      </c>
      <c r="U4" s="30" t="s">
        <v>11</v>
      </c>
      <c r="V4" s="30" t="s">
        <v>12</v>
      </c>
      <c r="W4" s="30" t="s">
        <v>13</v>
      </c>
      <c r="X4" s="31" t="s">
        <v>7</v>
      </c>
      <c r="Y4" s="31" t="s">
        <v>8</v>
      </c>
      <c r="Z4" s="31" t="s">
        <v>9</v>
      </c>
      <c r="AA4" s="32" t="s">
        <v>10</v>
      </c>
      <c r="AB4" s="32" t="s">
        <v>11</v>
      </c>
      <c r="AC4" s="32" t="s">
        <v>12</v>
      </c>
      <c r="AD4" s="32" t="s">
        <v>13</v>
      </c>
      <c r="AE4" s="34" t="s">
        <v>7</v>
      </c>
      <c r="AF4" s="34" t="s">
        <v>8</v>
      </c>
      <c r="AG4" s="34" t="s">
        <v>9</v>
      </c>
      <c r="AH4" s="30" t="s">
        <v>10</v>
      </c>
      <c r="AI4" s="30" t="s">
        <v>11</v>
      </c>
      <c r="AJ4" s="30" t="s">
        <v>12</v>
      </c>
      <c r="AK4" s="30" t="s">
        <v>13</v>
      </c>
      <c r="AL4" s="30" t="s">
        <v>7</v>
      </c>
      <c r="AM4" s="30" t="s">
        <v>8</v>
      </c>
      <c r="AN4" s="30" t="s">
        <v>9</v>
      </c>
      <c r="AO4" s="30" t="s">
        <v>10</v>
      </c>
      <c r="AP4" s="30" t="s">
        <v>11</v>
      </c>
      <c r="AQ4" s="30" t="s">
        <v>12</v>
      </c>
      <c r="AR4" s="30" t="s">
        <v>13</v>
      </c>
      <c r="AS4" s="31" t="s">
        <v>7</v>
      </c>
      <c r="AT4" s="31" t="s">
        <v>8</v>
      </c>
      <c r="AU4" s="31" t="s">
        <v>9</v>
      </c>
      <c r="AV4" s="32" t="s">
        <v>10</v>
      </c>
      <c r="AW4" s="32" t="s">
        <v>11</v>
      </c>
      <c r="AX4" s="32" t="s">
        <v>12</v>
      </c>
      <c r="AY4" s="32" t="s">
        <v>13</v>
      </c>
      <c r="AZ4" s="30" t="s">
        <v>7</v>
      </c>
      <c r="BA4" s="30" t="s">
        <v>8</v>
      </c>
      <c r="BB4" s="30" t="s">
        <v>9</v>
      </c>
      <c r="BC4" s="30" t="s">
        <v>10</v>
      </c>
      <c r="BD4" s="30" t="s">
        <v>11</v>
      </c>
      <c r="BE4" s="30" t="s">
        <v>12</v>
      </c>
      <c r="BF4" s="30" t="s">
        <v>13</v>
      </c>
      <c r="BG4" s="31" t="s">
        <v>7</v>
      </c>
      <c r="BH4" s="31" t="s">
        <v>8</v>
      </c>
      <c r="BI4" s="31" t="s">
        <v>9</v>
      </c>
      <c r="BJ4" s="32" t="s">
        <v>10</v>
      </c>
      <c r="BK4" s="32" t="s">
        <v>11</v>
      </c>
      <c r="BL4" s="32" t="s">
        <v>12</v>
      </c>
      <c r="BM4" s="32" t="s">
        <v>13</v>
      </c>
      <c r="BN4" s="30" t="s">
        <v>7</v>
      </c>
      <c r="BO4" s="30" t="s">
        <v>8</v>
      </c>
      <c r="BP4" s="30" t="s">
        <v>9</v>
      </c>
      <c r="BQ4" s="30" t="s">
        <v>10</v>
      </c>
      <c r="BR4" s="30" t="s">
        <v>11</v>
      </c>
      <c r="BS4" s="30" t="s">
        <v>12</v>
      </c>
      <c r="BT4" s="30" t="s">
        <v>13</v>
      </c>
      <c r="BU4" s="31" t="s">
        <v>7</v>
      </c>
      <c r="BV4" s="31" t="s">
        <v>8</v>
      </c>
      <c r="BW4" s="31" t="s">
        <v>9</v>
      </c>
      <c r="BX4" s="32" t="s">
        <v>10</v>
      </c>
      <c r="BY4" s="32" t="s">
        <v>11</v>
      </c>
      <c r="BZ4" s="32" t="s">
        <v>12</v>
      </c>
      <c r="CA4" s="32" t="s">
        <v>13</v>
      </c>
      <c r="CB4" s="30" t="s">
        <v>7</v>
      </c>
      <c r="CC4" s="30" t="s">
        <v>8</v>
      </c>
      <c r="CD4" s="30" t="s">
        <v>9</v>
      </c>
      <c r="CE4" s="30" t="s">
        <v>10</v>
      </c>
      <c r="CF4" s="30" t="s">
        <v>11</v>
      </c>
      <c r="CG4" s="30" t="s">
        <v>12</v>
      </c>
      <c r="CH4" s="30" t="s">
        <v>13</v>
      </c>
      <c r="CI4" s="31" t="s">
        <v>7</v>
      </c>
      <c r="CJ4" s="31" t="s">
        <v>8</v>
      </c>
      <c r="CK4" s="31" t="s">
        <v>9</v>
      </c>
      <c r="CL4" s="32" t="s">
        <v>10</v>
      </c>
      <c r="CM4" s="32" t="s">
        <v>11</v>
      </c>
      <c r="CN4" s="32" t="s">
        <v>12</v>
      </c>
      <c r="CO4" s="32" t="s">
        <v>13</v>
      </c>
      <c r="CP4" s="30" t="s">
        <v>7</v>
      </c>
      <c r="CQ4" s="30" t="s">
        <v>8</v>
      </c>
      <c r="CR4" s="30" t="s">
        <v>9</v>
      </c>
      <c r="CS4" s="30" t="s">
        <v>10</v>
      </c>
      <c r="CT4" s="30" t="s">
        <v>11</v>
      </c>
      <c r="CU4" s="30" t="s">
        <v>12</v>
      </c>
      <c r="CV4" s="30" t="s">
        <v>13</v>
      </c>
      <c r="CW4" s="31" t="s">
        <v>7</v>
      </c>
      <c r="CX4" s="31" t="s">
        <v>8</v>
      </c>
      <c r="CY4" s="31" t="s">
        <v>9</v>
      </c>
      <c r="CZ4" s="32" t="s">
        <v>10</v>
      </c>
      <c r="DA4" s="32" t="s">
        <v>11</v>
      </c>
      <c r="DB4" s="32" t="s">
        <v>12</v>
      </c>
      <c r="DC4" s="32" t="s">
        <v>13</v>
      </c>
      <c r="DD4" s="30" t="s">
        <v>7</v>
      </c>
      <c r="DE4" s="30" t="s">
        <v>8</v>
      </c>
      <c r="DF4" s="30" t="s">
        <v>9</v>
      </c>
      <c r="DG4" s="30" t="s">
        <v>10</v>
      </c>
      <c r="DH4" s="30" t="s">
        <v>11</v>
      </c>
      <c r="DI4" s="30" t="s">
        <v>12</v>
      </c>
      <c r="DJ4" s="30" t="s">
        <v>13</v>
      </c>
      <c r="DK4" s="31" t="s">
        <v>7</v>
      </c>
      <c r="DL4" s="31" t="s">
        <v>8</v>
      </c>
      <c r="DM4" s="31" t="s">
        <v>9</v>
      </c>
      <c r="DN4" s="32" t="s">
        <v>10</v>
      </c>
      <c r="DO4" s="32" t="s">
        <v>11</v>
      </c>
      <c r="DP4" s="32" t="s">
        <v>12</v>
      </c>
      <c r="DQ4" s="32" t="s">
        <v>13</v>
      </c>
      <c r="DR4" s="30" t="s">
        <v>7</v>
      </c>
      <c r="DS4" s="30" t="s">
        <v>8</v>
      </c>
      <c r="DT4" s="30" t="s">
        <v>9</v>
      </c>
      <c r="DU4" s="30" t="s">
        <v>10</v>
      </c>
      <c r="DV4" s="30" t="s">
        <v>11</v>
      </c>
      <c r="DW4" s="30" t="s">
        <v>12</v>
      </c>
      <c r="DX4" s="30" t="s">
        <v>13</v>
      </c>
      <c r="DY4" s="31" t="s">
        <v>7</v>
      </c>
      <c r="DZ4" s="31" t="s">
        <v>8</v>
      </c>
      <c r="EA4" s="31" t="s">
        <v>9</v>
      </c>
      <c r="EB4" s="32" t="s">
        <v>10</v>
      </c>
      <c r="EC4" s="32" t="s">
        <v>11</v>
      </c>
      <c r="ED4" s="32" t="s">
        <v>12</v>
      </c>
      <c r="EE4" s="32" t="s">
        <v>13</v>
      </c>
      <c r="EF4" s="30" t="s">
        <v>7</v>
      </c>
      <c r="EG4" s="30" t="s">
        <v>8</v>
      </c>
      <c r="EH4" s="30" t="s">
        <v>9</v>
      </c>
      <c r="EI4" s="30" t="s">
        <v>10</v>
      </c>
      <c r="EJ4" s="30" t="s">
        <v>11</v>
      </c>
      <c r="EK4" s="30" t="s">
        <v>12</v>
      </c>
      <c r="EL4" s="30" t="s">
        <v>13</v>
      </c>
      <c r="EM4" s="31" t="s">
        <v>7</v>
      </c>
      <c r="EN4" s="31" t="s">
        <v>8</v>
      </c>
      <c r="EO4" s="31" t="s">
        <v>9</v>
      </c>
      <c r="EP4" s="32" t="s">
        <v>10</v>
      </c>
      <c r="EQ4" s="32" t="s">
        <v>11</v>
      </c>
      <c r="ER4" s="32" t="s">
        <v>12</v>
      </c>
      <c r="ES4" s="32" t="s">
        <v>13</v>
      </c>
      <c r="ET4" s="30" t="s">
        <v>7</v>
      </c>
      <c r="EU4" s="30" t="s">
        <v>8</v>
      </c>
      <c r="EV4" s="30" t="s">
        <v>9</v>
      </c>
      <c r="EW4" s="30" t="s">
        <v>10</v>
      </c>
      <c r="EX4" s="30" t="s">
        <v>11</v>
      </c>
      <c r="EY4" s="30" t="s">
        <v>12</v>
      </c>
      <c r="EZ4" s="30" t="s">
        <v>13</v>
      </c>
      <c r="FA4" s="31" t="s">
        <v>7</v>
      </c>
      <c r="FB4" s="31" t="s">
        <v>8</v>
      </c>
      <c r="FC4" s="31" t="s">
        <v>9</v>
      </c>
      <c r="FD4" s="32" t="s">
        <v>10</v>
      </c>
      <c r="FE4" s="32" t="s">
        <v>11</v>
      </c>
      <c r="FF4" s="32" t="s">
        <v>12</v>
      </c>
      <c r="FG4" s="32" t="s">
        <v>13</v>
      </c>
      <c r="FH4" s="30" t="s">
        <v>7</v>
      </c>
      <c r="FI4" s="30" t="s">
        <v>8</v>
      </c>
      <c r="FJ4" s="30" t="s">
        <v>9</v>
      </c>
      <c r="FK4" s="30" t="s">
        <v>10</v>
      </c>
      <c r="FL4" s="30" t="s">
        <v>11</v>
      </c>
      <c r="FM4" s="30" t="s">
        <v>12</v>
      </c>
      <c r="FN4" s="30" t="s">
        <v>13</v>
      </c>
      <c r="FO4" s="31" t="s">
        <v>7</v>
      </c>
      <c r="FP4" s="31" t="s">
        <v>8</v>
      </c>
      <c r="FQ4" s="31" t="s">
        <v>9</v>
      </c>
      <c r="FR4" s="32" t="s">
        <v>10</v>
      </c>
      <c r="FS4" s="32" t="s">
        <v>11</v>
      </c>
      <c r="FT4" s="32" t="s">
        <v>12</v>
      </c>
      <c r="FU4" s="32" t="s">
        <v>13</v>
      </c>
      <c r="FV4" s="30" t="s">
        <v>7</v>
      </c>
      <c r="FW4" s="30" t="s">
        <v>8</v>
      </c>
      <c r="FX4" s="30" t="s">
        <v>9</v>
      </c>
      <c r="FY4" s="30" t="s">
        <v>10</v>
      </c>
      <c r="FZ4" s="30" t="s">
        <v>11</v>
      </c>
      <c r="GA4" s="30" t="s">
        <v>12</v>
      </c>
      <c r="GB4" s="30" t="s">
        <v>13</v>
      </c>
      <c r="GC4" s="31" t="s">
        <v>7</v>
      </c>
      <c r="GD4" s="31" t="s">
        <v>8</v>
      </c>
      <c r="GE4" s="31" t="s">
        <v>9</v>
      </c>
      <c r="GF4" s="32" t="s">
        <v>10</v>
      </c>
      <c r="GG4" s="32" t="s">
        <v>11</v>
      </c>
      <c r="GH4" s="32" t="s">
        <v>12</v>
      </c>
      <c r="GI4" s="32" t="s">
        <v>13</v>
      </c>
    </row>
    <row r="5" spans="1:191">
      <c r="A5" s="6">
        <v>45966</v>
      </c>
      <c r="B5" s="7" t="s">
        <v>17</v>
      </c>
      <c r="C5" s="8">
        <v>14</v>
      </c>
      <c r="D5" s="9">
        <v>0</v>
      </c>
      <c r="E5" s="10">
        <v>14.3</v>
      </c>
      <c r="F5" s="19">
        <f>IF($D$8=0,0,D5/$D$8)</f>
        <v>0</v>
      </c>
      <c r="G5" s="19">
        <f>C16</f>
        <v>0.27202072538860106</v>
      </c>
      <c r="H5" s="19">
        <f>F5-G5</f>
        <v>-0.27202072538860106</v>
      </c>
      <c r="I5" s="20">
        <f>G5*$D$8</f>
        <v>0</v>
      </c>
      <c r="J5" s="8">
        <v>14</v>
      </c>
      <c r="K5" s="9">
        <v>10</v>
      </c>
      <c r="L5" s="10">
        <v>24.3</v>
      </c>
      <c r="M5" s="19">
        <f>IF($K$8=0,0,J5/$K$8)</f>
        <v>0.36842105263157893</v>
      </c>
      <c r="N5" s="19">
        <f>C16</f>
        <v>0.27202072538860106</v>
      </c>
      <c r="O5" s="19">
        <f>M5-N5</f>
        <v>9.6400327242977868E-2</v>
      </c>
      <c r="P5" s="20">
        <f>N5*$K$8</f>
        <v>10.336787564766841</v>
      </c>
      <c r="Q5" s="8">
        <v>24</v>
      </c>
      <c r="R5" s="9">
        <v>9</v>
      </c>
      <c r="S5" s="10">
        <v>32.799999999999997</v>
      </c>
      <c r="T5" s="19">
        <f>R5/$R$8</f>
        <v>0.42857142857142855</v>
      </c>
      <c r="U5" s="19">
        <f>C16</f>
        <v>0.27202072538860106</v>
      </c>
      <c r="V5" s="19">
        <f>T5-U5</f>
        <v>0.15655070318282749</v>
      </c>
      <c r="W5" s="20">
        <f>U5*$R$8</f>
        <v>5.7124352331606225</v>
      </c>
      <c r="X5" s="8">
        <v>33</v>
      </c>
      <c r="Y5" s="9">
        <v>7</v>
      </c>
      <c r="Z5" s="10">
        <v>40</v>
      </c>
      <c r="AA5" s="19">
        <f>Y5/Y8</f>
        <v>0.23333333333333334</v>
      </c>
      <c r="AB5" s="19">
        <f>C16</f>
        <v>0.27202072538860106</v>
      </c>
      <c r="AC5" s="19">
        <f>AA5-AB5</f>
        <v>-3.8687392055267722E-2</v>
      </c>
      <c r="AD5" s="20">
        <f>AB5*Y8</f>
        <v>8.1606217616580317</v>
      </c>
      <c r="AE5" s="8">
        <v>40</v>
      </c>
      <c r="AF5" s="9">
        <v>7</v>
      </c>
      <c r="AG5" s="10">
        <v>46.8</v>
      </c>
      <c r="AH5" s="19">
        <f>AF5/$AF$8</f>
        <v>0.11666666666666667</v>
      </c>
      <c r="AI5" s="19">
        <f>C16</f>
        <v>0.27202072538860106</v>
      </c>
      <c r="AJ5" s="19">
        <f>AH5-AI5</f>
        <v>-0.15535405872193439</v>
      </c>
      <c r="AK5" s="20">
        <f>AI5*$AF$8</f>
        <v>16.321243523316063</v>
      </c>
      <c r="AL5" s="8">
        <v>103</v>
      </c>
      <c r="AM5" s="9">
        <v>-29</v>
      </c>
      <c r="AN5" s="10">
        <v>74.3</v>
      </c>
      <c r="AO5" s="19">
        <f>AM5/$AM$8</f>
        <v>-0.54716981132075471</v>
      </c>
      <c r="AP5" s="19">
        <f>C16</f>
        <v>0.27202072538860106</v>
      </c>
      <c r="AQ5" s="19">
        <f>AO5-AP5</f>
        <v>-0.81919053670935571</v>
      </c>
      <c r="AR5" s="20">
        <f>AP5*$AM$8</f>
        <v>14.417098445595856</v>
      </c>
      <c r="AS5" s="8">
        <v>104</v>
      </c>
      <c r="AT5" s="9">
        <v>-23</v>
      </c>
      <c r="AU5" s="10">
        <v>80.599999999999994</v>
      </c>
      <c r="AV5" s="19">
        <f>AT5/$AT$8</f>
        <v>-0.38983050847457629</v>
      </c>
      <c r="AW5" s="19">
        <f>C16</f>
        <v>0.27202072538860106</v>
      </c>
      <c r="AX5" s="19">
        <f>AV5-AW5</f>
        <v>-0.66185123386317735</v>
      </c>
      <c r="AY5" s="20">
        <f>AW5*$AT$8</f>
        <v>16.049222797927463</v>
      </c>
      <c r="AZ5" s="8">
        <v>14</v>
      </c>
      <c r="BA5" s="9">
        <v>56</v>
      </c>
      <c r="BB5" s="10">
        <v>70.5</v>
      </c>
      <c r="BC5" s="19">
        <f>BA5/$BA$8</f>
        <v>0.52336448598130836</v>
      </c>
      <c r="BD5" s="19">
        <f>C16</f>
        <v>0.27202072538860106</v>
      </c>
      <c r="BE5" s="19">
        <f>BC5-BD5</f>
        <v>0.2513437605927073</v>
      </c>
      <c r="BF5" s="20">
        <f>BD5*$BA$8</f>
        <v>29.106217616580313</v>
      </c>
      <c r="BG5" s="8">
        <v>14</v>
      </c>
      <c r="BH5" s="9">
        <v>49</v>
      </c>
      <c r="BI5" s="10">
        <v>63.4</v>
      </c>
      <c r="BJ5" s="19">
        <f>BH5/$BH$8</f>
        <v>0.40163934426229508</v>
      </c>
      <c r="BK5" s="19">
        <f>C16</f>
        <v>0.27202072538860106</v>
      </c>
      <c r="BL5" s="19">
        <f>BJ5-BK5</f>
        <v>0.12961861887369402</v>
      </c>
      <c r="BM5" s="20">
        <f>BK5*$BH$8</f>
        <v>33.186528497409327</v>
      </c>
      <c r="BN5" s="8">
        <v>63</v>
      </c>
      <c r="BO5" s="9">
        <v>-6</v>
      </c>
      <c r="BP5" s="10">
        <v>57.2</v>
      </c>
      <c r="BQ5" s="19">
        <f>BO5/$BO$8</f>
        <v>-0.15384615384615385</v>
      </c>
      <c r="BR5" s="19">
        <f>C16</f>
        <v>0.27202072538860106</v>
      </c>
      <c r="BS5" s="19">
        <f>BQ5-BR5</f>
        <v>-0.42586687923475491</v>
      </c>
      <c r="BT5" s="20">
        <f>BR5*$BO$8</f>
        <v>10.608808290155441</v>
      </c>
      <c r="BU5" s="8">
        <v>57</v>
      </c>
      <c r="BV5" s="9">
        <v>5</v>
      </c>
      <c r="BW5" s="10">
        <v>62.3</v>
      </c>
      <c r="BX5" s="19">
        <f>BV5/$BV$8</f>
        <v>9.0909090909090912E-2</v>
      </c>
      <c r="BY5" s="19">
        <f>C16</f>
        <v>0.27202072538860106</v>
      </c>
      <c r="BZ5" s="19">
        <f>BX5-BY5</f>
        <v>-0.18111163447951015</v>
      </c>
      <c r="CA5" s="20">
        <f>BY5*$BV$8</f>
        <v>14.961139896373059</v>
      </c>
      <c r="CB5" s="8">
        <v>57</v>
      </c>
      <c r="CC5" s="9">
        <v>-1</v>
      </c>
      <c r="CD5" s="10">
        <v>56</v>
      </c>
      <c r="CE5" s="19">
        <f>CC5/$CC$8</f>
        <v>-2.9411764705882353E-2</v>
      </c>
      <c r="CF5" s="19">
        <f>C16</f>
        <v>0.27202072538860106</v>
      </c>
      <c r="CG5" s="19">
        <f>CE5-CF5</f>
        <v>-0.30143249009448342</v>
      </c>
      <c r="CH5" s="20">
        <f>CF5*$CC$8</f>
        <v>9.2487046632124361</v>
      </c>
      <c r="CI5" s="8">
        <v>56</v>
      </c>
      <c r="CJ5" s="9">
        <v>-5</v>
      </c>
      <c r="CK5" s="10">
        <v>50.9</v>
      </c>
      <c r="CL5" s="19">
        <f>CJ5/$CJ$8</f>
        <v>-0.14705882352941177</v>
      </c>
      <c r="CM5" s="19">
        <f>C16</f>
        <v>0.27202072538860106</v>
      </c>
      <c r="CN5" s="19">
        <f>CL5-CM5</f>
        <v>-0.4190795489180128</v>
      </c>
      <c r="CO5" s="20">
        <f>CM5*$CJ$8</f>
        <v>9.2487046632124361</v>
      </c>
      <c r="CP5" s="8">
        <v>51</v>
      </c>
      <c r="CQ5" s="9">
        <v>-7</v>
      </c>
      <c r="CR5" s="10">
        <v>44.4</v>
      </c>
      <c r="CS5" s="19">
        <f>CQ5/$CQ$8</f>
        <v>-0.63636363636363635</v>
      </c>
      <c r="CT5" s="19">
        <f>C16</f>
        <v>0.27202072538860106</v>
      </c>
      <c r="CU5" s="19">
        <f>CS5-CT5</f>
        <v>-0.90838436175223736</v>
      </c>
      <c r="CV5" s="20">
        <f>CT5*$CQ$8</f>
        <v>2.9922279792746118</v>
      </c>
      <c r="CW5" s="8">
        <v>44</v>
      </c>
      <c r="CX5" s="9">
        <v>3</v>
      </c>
      <c r="CY5" s="10">
        <v>47</v>
      </c>
      <c r="CZ5" s="19">
        <f>CX5/$CX$8</f>
        <v>-0.11538461538461539</v>
      </c>
      <c r="DA5" s="19">
        <f>C16</f>
        <v>0.27202072538860106</v>
      </c>
      <c r="DB5" s="19">
        <f>CZ5-DA5</f>
        <v>-0.38740534077321642</v>
      </c>
      <c r="DC5" s="20">
        <f>DA5*$CX$8</f>
        <v>-7.0725388601036272</v>
      </c>
      <c r="DD5" s="8">
        <v>47</v>
      </c>
      <c r="DE5" s="9">
        <v>-4</v>
      </c>
      <c r="DF5" s="10">
        <v>43.6</v>
      </c>
      <c r="DG5" s="19">
        <f>DE5/$DE$8</f>
        <v>-0.23529411764705882</v>
      </c>
      <c r="DH5" s="19">
        <f>C16</f>
        <v>0.27202072538860106</v>
      </c>
      <c r="DI5" s="19">
        <f>DG5-DH5</f>
        <v>-0.50731484303565988</v>
      </c>
      <c r="DJ5" s="20">
        <f>DH5*$DE$8</f>
        <v>4.6243523316062181</v>
      </c>
      <c r="DK5" s="8">
        <v>44</v>
      </c>
      <c r="DL5" s="9">
        <v>2</v>
      </c>
      <c r="DM5" s="10">
        <v>45.7</v>
      </c>
      <c r="DN5" s="19">
        <f>DL5/$DL$8</f>
        <v>-0.4</v>
      </c>
      <c r="DO5" s="19">
        <f>C16</f>
        <v>0.27202072538860106</v>
      </c>
      <c r="DP5" s="19">
        <f>DN5-DO5</f>
        <v>-0.67202072538860103</v>
      </c>
      <c r="DQ5" s="20">
        <f>DO5*$DL$8</f>
        <v>-1.3601036269430054</v>
      </c>
      <c r="DR5" s="8">
        <v>46</v>
      </c>
      <c r="DS5" s="9">
        <v>-2</v>
      </c>
      <c r="DT5" s="10">
        <v>44.1</v>
      </c>
      <c r="DU5" s="19">
        <f>DS5/$DS$8</f>
        <v>-0.2857142857142857</v>
      </c>
      <c r="DV5" s="19">
        <f>C16</f>
        <v>0.27202072538860106</v>
      </c>
      <c r="DW5" s="19">
        <f>DU5-DV5</f>
        <v>-0.5577350111028867</v>
      </c>
      <c r="DX5" s="20">
        <f>DV5*$DS$8</f>
        <v>1.9041450777202074</v>
      </c>
      <c r="DY5" s="8">
        <v>44</v>
      </c>
      <c r="DZ5" s="9">
        <v>2</v>
      </c>
      <c r="EA5" s="10">
        <v>45.7</v>
      </c>
      <c r="EB5" s="19">
        <f>DZ5/$DZ$8</f>
        <v>0.2857142857142857</v>
      </c>
      <c r="EC5" s="19">
        <f>C16</f>
        <v>0.27202072538860106</v>
      </c>
      <c r="ED5" s="19">
        <f>EB5-EC5</f>
        <v>1.3693560325684639E-2</v>
      </c>
      <c r="EE5" s="20">
        <f>EC5*$DZ$8</f>
        <v>1.9041450777202074</v>
      </c>
      <c r="EF5" s="8">
        <v>44</v>
      </c>
      <c r="EG5" s="9">
        <v>3</v>
      </c>
      <c r="EH5" s="10">
        <v>46.9</v>
      </c>
      <c r="EI5" s="19">
        <f>EG5/$EG$8</f>
        <v>0.42857142857142855</v>
      </c>
      <c r="EJ5" s="19">
        <f>C16</f>
        <v>0.27202072538860106</v>
      </c>
      <c r="EK5" s="19">
        <f>EI5-EJ5</f>
        <v>0.15655070318282749</v>
      </c>
      <c r="EL5" s="20">
        <f>EJ5*$EG$8</f>
        <v>1.9041450777202074</v>
      </c>
      <c r="EM5" s="8">
        <v>47</v>
      </c>
      <c r="EN5" s="9">
        <v>-6</v>
      </c>
      <c r="EO5" s="10">
        <v>41.5</v>
      </c>
      <c r="EP5" s="19">
        <f>EN5/$EN$8</f>
        <v>0.31578947368421051</v>
      </c>
      <c r="EQ5" s="19">
        <f>C16</f>
        <v>0.27202072538860106</v>
      </c>
      <c r="ER5" s="19">
        <f>EP5-EQ5</f>
        <v>4.376874829560945E-2</v>
      </c>
      <c r="ES5" s="20">
        <f>EQ5*$EN$8</f>
        <v>-5.1683937823834203</v>
      </c>
      <c r="ET5" s="8">
        <v>42</v>
      </c>
      <c r="EU5" s="9">
        <v>0</v>
      </c>
      <c r="EV5" s="10">
        <v>41.7</v>
      </c>
      <c r="EW5" s="19">
        <f>EU5/$EU$8</f>
        <v>0</v>
      </c>
      <c r="EX5" s="19">
        <f>C16</f>
        <v>0.27202072538860106</v>
      </c>
      <c r="EY5" s="19">
        <f>EW5-EX5</f>
        <v>-0.27202072538860106</v>
      </c>
      <c r="EZ5" s="20">
        <f>EX5*$EU$8</f>
        <v>0.27202072538860106</v>
      </c>
      <c r="FA5" s="8">
        <v>42</v>
      </c>
      <c r="FB5" s="9">
        <v>-6</v>
      </c>
      <c r="FC5" s="10">
        <v>35.700000000000003</v>
      </c>
      <c r="FD5" s="19">
        <f>IF($FB$8=0,0,FB5/$FB$8)</f>
        <v>0.31578947368421051</v>
      </c>
      <c r="FE5" s="19">
        <f>C16</f>
        <v>0.27202072538860106</v>
      </c>
      <c r="FF5" s="19">
        <f>FD5-FE5</f>
        <v>4.376874829560945E-2</v>
      </c>
      <c r="FG5" s="20">
        <f>FE5*$FB$8</f>
        <v>-5.1683937823834203</v>
      </c>
      <c r="FH5" s="8">
        <v>36</v>
      </c>
      <c r="FI5" s="9">
        <v>12</v>
      </c>
      <c r="FJ5" s="10">
        <v>48.1</v>
      </c>
      <c r="FK5" s="19">
        <f>FI5/$EU$8</f>
        <v>12</v>
      </c>
      <c r="FL5" s="19">
        <f>Q16</f>
        <v>0</v>
      </c>
      <c r="FM5" s="19">
        <f>FK5-FL5</f>
        <v>12</v>
      </c>
      <c r="FN5" s="20">
        <f>FL5*$EU$8</f>
        <v>0</v>
      </c>
      <c r="FO5" s="8">
        <v>36</v>
      </c>
      <c r="FP5" s="9">
        <v>5</v>
      </c>
      <c r="FQ5" s="10">
        <v>41.1</v>
      </c>
      <c r="FR5" s="19">
        <f>IF($FB$8=0,0,FP5/$FB$8)</f>
        <v>-0.26315789473684209</v>
      </c>
      <c r="FS5" s="19">
        <f>Q16</f>
        <v>0</v>
      </c>
      <c r="FT5" s="19">
        <f>FR5-FS5</f>
        <v>-0.26315789473684209</v>
      </c>
      <c r="FU5" s="20">
        <f>FS5*$FB$8</f>
        <v>0</v>
      </c>
      <c r="FV5" s="8">
        <v>41</v>
      </c>
      <c r="FW5" s="9">
        <v>-9</v>
      </c>
      <c r="FX5" s="10">
        <v>32.5</v>
      </c>
      <c r="FY5" s="19">
        <f>FW5/$EU$8</f>
        <v>-9</v>
      </c>
      <c r="FZ5" s="19">
        <f>AE16</f>
        <v>0</v>
      </c>
      <c r="GA5" s="19">
        <f>FY5-FZ5</f>
        <v>-9</v>
      </c>
      <c r="GB5" s="20">
        <f>FZ5*$EU$8</f>
        <v>0</v>
      </c>
      <c r="GC5" s="8">
        <v>33</v>
      </c>
      <c r="GD5" s="9">
        <v>5</v>
      </c>
      <c r="GE5" s="10">
        <v>38.200000000000003</v>
      </c>
      <c r="GF5" s="19">
        <f>IF($FB$8=0,0,GD5/$FB$8)</f>
        <v>-0.26315789473684209</v>
      </c>
      <c r="GG5" s="19">
        <f>AE16</f>
        <v>0</v>
      </c>
      <c r="GH5" s="19">
        <f>GF5-GG5</f>
        <v>-0.26315789473684209</v>
      </c>
      <c r="GI5" s="20">
        <f>GG5*$FB$8</f>
        <v>0</v>
      </c>
    </row>
    <row r="6" spans="1:191">
      <c r="A6" s="11">
        <v>45966</v>
      </c>
      <c r="B6" s="12" t="s">
        <v>18</v>
      </c>
      <c r="C6" s="8">
        <v>5</v>
      </c>
      <c r="D6" s="9">
        <v>0</v>
      </c>
      <c r="E6" s="10">
        <v>5.4</v>
      </c>
      <c r="F6" s="19">
        <f t="shared" ref="F6:F7" si="0">IF($D$8=0,0,D6/$D$8)</f>
        <v>0</v>
      </c>
      <c r="G6" s="19">
        <f t="shared" ref="G6:G7" si="1">C17</f>
        <v>0.50777202072538863</v>
      </c>
      <c r="H6" s="19">
        <f t="shared" ref="H6:H7" si="2">F6-G6</f>
        <v>-0.50777202072538863</v>
      </c>
      <c r="I6" s="20">
        <f t="shared" ref="I6:I7" si="3">G6*$D$8</f>
        <v>0</v>
      </c>
      <c r="J6" s="8">
        <v>5</v>
      </c>
      <c r="K6" s="9">
        <v>22</v>
      </c>
      <c r="L6" s="10">
        <v>26.5</v>
      </c>
      <c r="M6" s="19">
        <f t="shared" ref="M6:M7" si="4">IF($K$8=0,0,J6/$K$8)</f>
        <v>0.13157894736842105</v>
      </c>
      <c r="N6" s="19">
        <f t="shared" ref="N6:N7" si="5">C17</f>
        <v>0.50777202072538863</v>
      </c>
      <c r="O6" s="19">
        <f t="shared" ref="O6:O7" si="6">M6-N6</f>
        <v>-0.37619307335696761</v>
      </c>
      <c r="P6" s="20">
        <f t="shared" ref="P6:P7" si="7">N6*$D$8</f>
        <v>0</v>
      </c>
      <c r="Q6" s="8">
        <v>37</v>
      </c>
      <c r="R6" s="9">
        <v>5</v>
      </c>
      <c r="S6" s="10">
        <v>42.3</v>
      </c>
      <c r="T6" s="19">
        <f t="shared" ref="T6:T7" si="8">R6/$R$8</f>
        <v>0.23809523809523808</v>
      </c>
      <c r="U6" s="19">
        <f t="shared" ref="U6:U7" si="9">C17</f>
        <v>0.50777202072538863</v>
      </c>
      <c r="V6" s="19">
        <f t="shared" ref="V6:V7" si="10">T6-U6</f>
        <v>-0.26967678263015055</v>
      </c>
      <c r="W6" s="20">
        <f t="shared" ref="W6:W7" si="11">U6*$R$8</f>
        <v>10.663212435233161</v>
      </c>
      <c r="X6" s="8">
        <v>38</v>
      </c>
      <c r="Y6" s="9">
        <v>17</v>
      </c>
      <c r="Z6" s="10">
        <v>55</v>
      </c>
      <c r="AA6" s="19">
        <f t="shared" ref="AA6:AA7" si="12">Y6/$Y$8</f>
        <v>0.56666666666666665</v>
      </c>
      <c r="AB6" s="19">
        <f t="shared" ref="AB6:AB7" si="13">C17</f>
        <v>0.50777202072538863</v>
      </c>
      <c r="AC6" s="19">
        <f t="shared" ref="AC6:AC7" si="14">AA6-AB6</f>
        <v>5.8894645941278023E-2</v>
      </c>
      <c r="AD6" s="20">
        <f t="shared" ref="AD6:AD7" si="15">AB6*$Y$8</f>
        <v>15.233160621761659</v>
      </c>
      <c r="AE6" s="8">
        <v>39</v>
      </c>
      <c r="AF6" s="9">
        <v>42</v>
      </c>
      <c r="AG6" s="10">
        <v>81.099999999999994</v>
      </c>
      <c r="AH6" s="19">
        <f t="shared" ref="AH6:AH7" si="16">AF6/$AF$8</f>
        <v>0.7</v>
      </c>
      <c r="AI6" s="19">
        <f t="shared" ref="AI6:AI7" si="17">C17</f>
        <v>0.50777202072538863</v>
      </c>
      <c r="AJ6" s="19">
        <f t="shared" ref="AJ6:AJ7" si="18">AH6-AI6</f>
        <v>0.19222797927461133</v>
      </c>
      <c r="AK6" s="20">
        <f t="shared" ref="AK6:AK7" si="19">AI6*$AF$8</f>
        <v>30.466321243523318</v>
      </c>
      <c r="AL6" s="8">
        <v>49</v>
      </c>
      <c r="AM6" s="9">
        <v>86</v>
      </c>
      <c r="AN6" s="10">
        <v>134.69999999999999</v>
      </c>
      <c r="AO6" s="19">
        <f t="shared" ref="AO6:AO7" si="20">AM6/$AM$8</f>
        <v>1.6226415094339623</v>
      </c>
      <c r="AP6" s="19">
        <f t="shared" ref="AP6:AP7" si="21">C17</f>
        <v>0.50777202072538863</v>
      </c>
      <c r="AQ6" s="19">
        <f t="shared" ref="AQ6:AQ7" si="22">AO6-AP6</f>
        <v>1.1148694887085737</v>
      </c>
      <c r="AR6" s="20">
        <f t="shared" ref="AR6:AR7" si="23">AP6*$AM$8</f>
        <v>26.911917098445599</v>
      </c>
      <c r="AS6" s="8">
        <v>69</v>
      </c>
      <c r="AT6" s="9">
        <v>77</v>
      </c>
      <c r="AU6" s="10">
        <v>146.30000000000001</v>
      </c>
      <c r="AV6" s="19">
        <f t="shared" ref="AV6:AV7" si="24">AT6/$AT$8</f>
        <v>1.3050847457627119</v>
      </c>
      <c r="AW6" s="19">
        <f t="shared" ref="AW6:AW7" si="25">C17</f>
        <v>0.50777202072538863</v>
      </c>
      <c r="AX6" s="19">
        <f t="shared" ref="AX6:AX7" si="26">AV6-AW6</f>
        <v>0.79731272503732331</v>
      </c>
      <c r="AY6" s="20">
        <f t="shared" ref="AY6:AY7" si="27">AW6*$AT$8</f>
        <v>29.958549222797927</v>
      </c>
      <c r="AZ6" s="8">
        <v>69</v>
      </c>
      <c r="BA6" s="9">
        <v>59</v>
      </c>
      <c r="BB6" s="10">
        <v>127.8</v>
      </c>
      <c r="BC6" s="19">
        <f t="shared" ref="BC6:BC7" si="28">BA6/$BA$8</f>
        <v>0.55140186915887845</v>
      </c>
      <c r="BD6" s="19">
        <f t="shared" ref="BD6:BD7" si="29">C17</f>
        <v>0.50777202072538863</v>
      </c>
      <c r="BE6" s="19">
        <f t="shared" ref="BE6:BE7" si="30">BC6-BD6</f>
        <v>4.3629848433489826E-2</v>
      </c>
      <c r="BF6" s="20">
        <f t="shared" ref="BF6:BF7" si="31">BD6*$BA$8</f>
        <v>54.331606217616581</v>
      </c>
      <c r="BG6" s="8">
        <v>37</v>
      </c>
      <c r="BH6" s="9">
        <v>78</v>
      </c>
      <c r="BI6" s="10">
        <v>115</v>
      </c>
      <c r="BJ6" s="19">
        <f t="shared" ref="BJ6:BJ7" si="32">BH6/$BH$8</f>
        <v>0.63934426229508201</v>
      </c>
      <c r="BK6" s="19">
        <f t="shared" ref="BK6:BK7" si="33">C17</f>
        <v>0.50777202072538863</v>
      </c>
      <c r="BL6" s="19">
        <f t="shared" ref="BL6:BL7" si="34">BJ6-BK6</f>
        <v>0.13157224156969338</v>
      </c>
      <c r="BM6" s="20">
        <f t="shared" ref="BM6:BM7" si="35">BK6*$BH$8</f>
        <v>61.948186528497416</v>
      </c>
      <c r="BN6" s="8">
        <v>54</v>
      </c>
      <c r="BO6" s="9">
        <v>50</v>
      </c>
      <c r="BP6" s="10">
        <v>103.8</v>
      </c>
      <c r="BQ6" s="19">
        <f t="shared" ref="BQ6:BQ7" si="36">BO6/$BO$8</f>
        <v>1.2820512820512822</v>
      </c>
      <c r="BR6" s="19">
        <f t="shared" ref="BR6:BR7" si="37">C17</f>
        <v>0.50777202072538863</v>
      </c>
      <c r="BS6" s="19">
        <f t="shared" ref="BS6:BS7" si="38">BQ6-BR6</f>
        <v>0.77427926132589353</v>
      </c>
      <c r="BT6" s="20">
        <f t="shared" ref="BT6:BT7" si="39">BR6*$BO$8</f>
        <v>19.803108808290155</v>
      </c>
      <c r="BU6" s="8">
        <v>67</v>
      </c>
      <c r="BV6" s="9">
        <v>46</v>
      </c>
      <c r="BW6" s="10">
        <v>113</v>
      </c>
      <c r="BX6" s="19">
        <f t="shared" ref="BX6:BX7" si="40">BV6/$BV$8</f>
        <v>0.83636363636363631</v>
      </c>
      <c r="BY6" s="19">
        <f t="shared" ref="BY6:BY7" si="41">C17</f>
        <v>0.50777202072538863</v>
      </c>
      <c r="BZ6" s="19">
        <f t="shared" ref="BZ6:BZ7" si="42">BX6-BY6</f>
        <v>0.32859161563824768</v>
      </c>
      <c r="CA6" s="20">
        <f t="shared" ref="CA6:CA7" si="43">BY6*$BV$8</f>
        <v>27.927461139896373</v>
      </c>
      <c r="CB6" s="8">
        <v>66</v>
      </c>
      <c r="CC6" s="9">
        <v>36</v>
      </c>
      <c r="CD6" s="10">
        <v>101.5</v>
      </c>
      <c r="CE6" s="19">
        <f t="shared" ref="CE6:CE7" si="44">CC6/$CC$8</f>
        <v>1.0588235294117647</v>
      </c>
      <c r="CF6" s="19">
        <f t="shared" ref="CF6:CF7" si="45">C17</f>
        <v>0.50777202072538863</v>
      </c>
      <c r="CG6" s="19">
        <f t="shared" ref="CG6:CG7" si="46">CE6-CF6</f>
        <v>0.55105150868637609</v>
      </c>
      <c r="CH6" s="20">
        <f t="shared" ref="CH6:CH7" si="47">CF6*$CC$8</f>
        <v>17.264248704663213</v>
      </c>
      <c r="CI6" s="8">
        <v>50</v>
      </c>
      <c r="CJ6" s="9">
        <v>43</v>
      </c>
      <c r="CK6" s="10">
        <v>92.3</v>
      </c>
      <c r="CL6" s="19">
        <f t="shared" ref="CL6:CL7" si="48">CJ6/$CJ$8</f>
        <v>1.2647058823529411</v>
      </c>
      <c r="CM6" s="19">
        <f t="shared" ref="CM6:CM7" si="49">C17</f>
        <v>0.50777202072538863</v>
      </c>
      <c r="CN6" s="19">
        <f t="shared" ref="CN6:CN7" si="50">CL6-CM6</f>
        <v>0.7569338616275525</v>
      </c>
      <c r="CO6" s="20">
        <f t="shared" ref="CO6:CO7" si="51">CM6*$CJ$8</f>
        <v>17.264248704663213</v>
      </c>
      <c r="CP6" s="8">
        <v>57</v>
      </c>
      <c r="CQ6" s="9">
        <v>23</v>
      </c>
      <c r="CR6" s="10">
        <v>80.5</v>
      </c>
      <c r="CS6" s="19">
        <f t="shared" ref="CS6:CS7" si="52">CQ6/$CQ$8</f>
        <v>2.0909090909090908</v>
      </c>
      <c r="CT6" s="19">
        <f t="shared" ref="CT6:CT7" si="53">C17</f>
        <v>0.50777202072538863</v>
      </c>
      <c r="CU6" s="19">
        <f t="shared" ref="CU6:CU7" si="54">CS6-CT6</f>
        <v>1.5831370701837022</v>
      </c>
      <c r="CV6" s="20">
        <f t="shared" ref="CV6:CV7" si="55">CT6*$CQ$8</f>
        <v>5.5854922279792749</v>
      </c>
      <c r="CW6" s="8">
        <v>115</v>
      </c>
      <c r="CX6" s="9">
        <v>-31</v>
      </c>
      <c r="CY6" s="10">
        <v>84.4</v>
      </c>
      <c r="CZ6" s="19">
        <f t="shared" ref="CZ6:CZ7" si="56">CX6/$CX$8</f>
        <v>1.1923076923076923</v>
      </c>
      <c r="DA6" s="19">
        <f t="shared" ref="DA6:DA7" si="57">C17</f>
        <v>0.50777202072538863</v>
      </c>
      <c r="DB6" s="19">
        <f t="shared" ref="DB6:DB7" si="58">CZ6-DA6</f>
        <v>0.68453567158230366</v>
      </c>
      <c r="DC6" s="20">
        <f t="shared" ref="DC6:DC7" si="59">DA6*$CX$8</f>
        <v>-13.202072538860104</v>
      </c>
      <c r="DD6" s="8">
        <v>57</v>
      </c>
      <c r="DE6" s="9">
        <v>24</v>
      </c>
      <c r="DF6" s="10">
        <v>81.599999999999994</v>
      </c>
      <c r="DG6" s="19">
        <f t="shared" ref="DG6:DG7" si="60">DE6/$DE$8</f>
        <v>1.411764705882353</v>
      </c>
      <c r="DH6" s="19">
        <f t="shared" ref="DH6:DH7" si="61">C17</f>
        <v>0.50777202072538863</v>
      </c>
      <c r="DI6" s="19">
        <f t="shared" ref="DI6:DI7" si="62">DG6-DH6</f>
        <v>0.9039926851569644</v>
      </c>
      <c r="DJ6" s="20">
        <f t="shared" ref="DJ6:DJ7" si="63">DH6*$DE$8</f>
        <v>8.6321243523316067</v>
      </c>
      <c r="DK6" s="8">
        <v>80</v>
      </c>
      <c r="DL6" s="9">
        <v>-9</v>
      </c>
      <c r="DM6" s="10">
        <v>71.3</v>
      </c>
      <c r="DN6" s="19">
        <f t="shared" ref="DN6:DN7" si="64">DL6/$DL$8</f>
        <v>1.8</v>
      </c>
      <c r="DO6" s="19">
        <f t="shared" ref="DO6:DO7" si="65">C17</f>
        <v>0.50777202072538863</v>
      </c>
      <c r="DP6" s="19">
        <f t="shared" ref="DP6:DP7" si="66">DN6-DO6</f>
        <v>1.2922279792746114</v>
      </c>
      <c r="DQ6" s="20">
        <f t="shared" ref="DQ6:DQ7" si="67">DO6*$DL$8</f>
        <v>-2.5388601036269431</v>
      </c>
      <c r="DR6" s="8">
        <v>70</v>
      </c>
      <c r="DS6" s="9">
        <v>10</v>
      </c>
      <c r="DT6" s="10">
        <v>80</v>
      </c>
      <c r="DU6" s="19">
        <f t="shared" ref="DU6:DU7" si="68">DS6/$DS$8</f>
        <v>1.4285714285714286</v>
      </c>
      <c r="DV6" s="19">
        <f t="shared" ref="DV6:DV7" si="69">C17</f>
        <v>0.50777202072538863</v>
      </c>
      <c r="DW6" s="19">
        <f t="shared" ref="DW6:DW7" si="70">DU6-DV6</f>
        <v>0.92079940784603997</v>
      </c>
      <c r="DX6" s="20">
        <f t="shared" ref="DX6:DX7" si="71">DV6*$DS$8</f>
        <v>3.5544041450777204</v>
      </c>
      <c r="DY6" s="8">
        <v>79</v>
      </c>
      <c r="DZ6" s="9">
        <v>4</v>
      </c>
      <c r="EA6" s="10">
        <v>82.8</v>
      </c>
      <c r="EB6" s="19">
        <f t="shared" ref="EB6:EB7" si="72">DZ6/$DZ$8</f>
        <v>0.5714285714285714</v>
      </c>
      <c r="EC6" s="19">
        <f t="shared" ref="EC6:EC7" si="73">C17</f>
        <v>0.50777202072538863</v>
      </c>
      <c r="ED6" s="19">
        <f t="shared" ref="ED6:ED7" si="74">EB6-EC6</f>
        <v>6.3656550703182768E-2</v>
      </c>
      <c r="EE6" s="20">
        <f t="shared" ref="EE6:EE7" si="75">EC6*$DZ$8</f>
        <v>3.5544041450777204</v>
      </c>
      <c r="EF6" s="8">
        <v>82</v>
      </c>
      <c r="EG6" s="9">
        <v>3</v>
      </c>
      <c r="EH6" s="10">
        <v>85</v>
      </c>
      <c r="EI6" s="19">
        <f t="shared" ref="EI6:EI7" si="76">EG6/$EG$8</f>
        <v>0.42857142857142855</v>
      </c>
      <c r="EJ6" s="19">
        <f t="shared" ref="EJ6:EJ7" si="77">C17</f>
        <v>0.50777202072538863</v>
      </c>
      <c r="EK6" s="19">
        <f t="shared" ref="EK6:EK7" si="78">EI6-EJ6</f>
        <v>-7.9200592153960081E-2</v>
      </c>
      <c r="EL6" s="20">
        <f t="shared" ref="EL6:EL7" si="79">EJ6*$EG$8</f>
        <v>3.5544041450777204</v>
      </c>
      <c r="EM6" s="8">
        <v>84</v>
      </c>
      <c r="EN6" s="9">
        <v>-9</v>
      </c>
      <c r="EO6" s="10">
        <v>75.2</v>
      </c>
      <c r="EP6" s="19">
        <f t="shared" ref="EP6:EP7" si="80">EN6/$EN$8</f>
        <v>0.47368421052631576</v>
      </c>
      <c r="EQ6" s="19">
        <f t="shared" ref="EQ6:EQ7" si="81">C17</f>
        <v>0.50777202072538863</v>
      </c>
      <c r="ER6" s="19">
        <f t="shared" ref="ER6:ER7" si="82">EP6-EQ6</f>
        <v>-3.4087810199072865E-2</v>
      </c>
      <c r="ES6" s="20">
        <f t="shared" ref="ES6:ES7" si="83">EQ6*$EN$8</f>
        <v>-9.6476683937823839</v>
      </c>
      <c r="ET6" s="8">
        <v>74</v>
      </c>
      <c r="EU6" s="9">
        <v>1</v>
      </c>
      <c r="EV6" s="10">
        <v>75.7</v>
      </c>
      <c r="EW6" s="19">
        <f t="shared" ref="EW6:EW7" si="84">EU6/$EU$8</f>
        <v>1</v>
      </c>
      <c r="EX6" s="19">
        <f t="shared" ref="EX6:EX7" si="85">C17</f>
        <v>0.50777202072538863</v>
      </c>
      <c r="EY6" s="19">
        <f t="shared" ref="EY6:EY7" si="86">EW6-EX6</f>
        <v>0.49222797927461137</v>
      </c>
      <c r="EZ6" s="20">
        <f t="shared" ref="EZ6:EZ7" si="87">EX6*$EU$8</f>
        <v>0.50777202072538863</v>
      </c>
      <c r="FA6" s="8">
        <v>72</v>
      </c>
      <c r="FB6" s="9">
        <v>-8</v>
      </c>
      <c r="FC6" s="10">
        <v>64.8</v>
      </c>
      <c r="FD6" s="19">
        <f t="shared" ref="FD6:FD7" si="88">IF($FB$8=0,0,FB6/$FB$8)</f>
        <v>0.42105263157894735</v>
      </c>
      <c r="FE6" s="19">
        <f t="shared" ref="FE6:FE7" si="89">C17</f>
        <v>0.50777202072538863</v>
      </c>
      <c r="FF6" s="19">
        <f t="shared" ref="FF6:FF7" si="90">FD6-FE6</f>
        <v>-8.6719389146441284E-2</v>
      </c>
      <c r="FG6" s="20">
        <f t="shared" ref="FG6:FG7" si="91">FE6*$FB$8</f>
        <v>-9.6476683937823839</v>
      </c>
      <c r="FH6" s="8">
        <v>40</v>
      </c>
      <c r="FI6" s="9">
        <v>7</v>
      </c>
      <c r="FJ6" s="10">
        <v>46.7</v>
      </c>
      <c r="FK6" s="19">
        <f t="shared" ref="FK6:FK7" si="92">FI6/$EU$8</f>
        <v>7</v>
      </c>
      <c r="FL6" s="19">
        <f t="shared" ref="FL6:FL7" si="93">Q17</f>
        <v>0</v>
      </c>
      <c r="FM6" s="19">
        <f t="shared" ref="FM6:FM7" si="94">FK6-FL6</f>
        <v>7</v>
      </c>
      <c r="FN6" s="20">
        <f t="shared" ref="FN6:FN7" si="95">FL6*$EU$8</f>
        <v>0</v>
      </c>
      <c r="FO6" s="8">
        <v>32</v>
      </c>
      <c r="FP6" s="9">
        <v>6</v>
      </c>
      <c r="FQ6" s="10">
        <v>37.6</v>
      </c>
      <c r="FR6" s="19">
        <f t="shared" ref="FR6:FR7" si="96">IF($FB$8=0,0,FP6/$FB$8)</f>
        <v>-0.31578947368421051</v>
      </c>
      <c r="FS6" s="19">
        <f t="shared" ref="FS6:FS7" si="97">Q17</f>
        <v>0</v>
      </c>
      <c r="FT6" s="19">
        <f t="shared" ref="FT6:FT7" si="98">FR6-FS6</f>
        <v>-0.31578947368421051</v>
      </c>
      <c r="FU6" s="20">
        <f t="shared" ref="FU6:FU7" si="99">FS6*$FB$8</f>
        <v>0</v>
      </c>
      <c r="FV6" s="8">
        <v>25</v>
      </c>
      <c r="FW6" s="9">
        <v>5</v>
      </c>
      <c r="FX6" s="10">
        <v>30</v>
      </c>
      <c r="FY6" s="19">
        <f t="shared" ref="FY6:FY7" si="100">FW6/$EU$8</f>
        <v>5</v>
      </c>
      <c r="FZ6" s="19">
        <f t="shared" ref="FZ6:FZ7" si="101">AE17</f>
        <v>0</v>
      </c>
      <c r="GA6" s="19">
        <f t="shared" ref="GA6:GA7" si="102">FY6-FZ6</f>
        <v>5</v>
      </c>
      <c r="GB6" s="20">
        <f t="shared" ref="GB6:GB7" si="103">FZ6*$EU$8</f>
        <v>0</v>
      </c>
      <c r="GC6" s="8">
        <v>14</v>
      </c>
      <c r="GD6" s="9">
        <v>6</v>
      </c>
      <c r="GE6" s="10">
        <v>20.100000000000001</v>
      </c>
      <c r="GF6" s="19">
        <f t="shared" ref="GF6:GF7" si="104">IF($FB$8=0,0,GD6/$FB$8)</f>
        <v>-0.31578947368421051</v>
      </c>
      <c r="GG6" s="19">
        <f t="shared" ref="GG6:GG7" si="105">AE17</f>
        <v>0</v>
      </c>
      <c r="GH6" s="19">
        <f t="shared" ref="GH6:GH7" si="106">GF6-GG6</f>
        <v>-0.31578947368421051</v>
      </c>
      <c r="GI6" s="20">
        <f t="shared" ref="GI6:GI7" si="107">GG6*$FB$8</f>
        <v>0</v>
      </c>
    </row>
    <row r="7" spans="1:191">
      <c r="A7" s="6">
        <v>45966</v>
      </c>
      <c r="B7" s="7" t="s">
        <v>19</v>
      </c>
      <c r="C7" s="8">
        <v>10</v>
      </c>
      <c r="D7" s="9">
        <v>0</v>
      </c>
      <c r="E7" s="10">
        <v>10.5</v>
      </c>
      <c r="F7" s="19">
        <f t="shared" si="0"/>
        <v>0</v>
      </c>
      <c r="G7" s="19">
        <f t="shared" si="1"/>
        <v>0.22020725388601037</v>
      </c>
      <c r="H7" s="19">
        <f t="shared" si="2"/>
        <v>-0.22020725388601037</v>
      </c>
      <c r="I7" s="20">
        <f t="shared" si="3"/>
        <v>0</v>
      </c>
      <c r="J7" s="8">
        <v>13</v>
      </c>
      <c r="K7" s="9">
        <v>6</v>
      </c>
      <c r="L7" s="10">
        <v>19.100000000000001</v>
      </c>
      <c r="M7" s="19">
        <f t="shared" si="4"/>
        <v>0.34210526315789475</v>
      </c>
      <c r="N7" s="19">
        <f t="shared" si="5"/>
        <v>0.22020725388601037</v>
      </c>
      <c r="O7" s="19">
        <f t="shared" si="6"/>
        <v>0.12189800927188438</v>
      </c>
      <c r="P7" s="20">
        <f t="shared" si="7"/>
        <v>0</v>
      </c>
      <c r="Q7" s="8">
        <v>19</v>
      </c>
      <c r="R7" s="9">
        <v>7</v>
      </c>
      <c r="S7" s="10">
        <v>25.8</v>
      </c>
      <c r="T7" s="19">
        <f t="shared" si="8"/>
        <v>0.33333333333333331</v>
      </c>
      <c r="U7" s="19">
        <f t="shared" si="9"/>
        <v>0.22020725388601037</v>
      </c>
      <c r="V7" s="19">
        <f t="shared" si="10"/>
        <v>0.11312607944732295</v>
      </c>
      <c r="W7" s="20">
        <f t="shared" si="11"/>
        <v>4.6243523316062181</v>
      </c>
      <c r="X7" s="8">
        <v>26</v>
      </c>
      <c r="Y7" s="9">
        <v>6</v>
      </c>
      <c r="Z7" s="10">
        <v>31.5</v>
      </c>
      <c r="AA7" s="19">
        <f t="shared" si="12"/>
        <v>0.2</v>
      </c>
      <c r="AB7" s="19">
        <f t="shared" si="13"/>
        <v>0.22020725388601037</v>
      </c>
      <c r="AC7" s="19">
        <f t="shared" si="14"/>
        <v>-2.0207253886010357E-2</v>
      </c>
      <c r="AD7" s="20">
        <f t="shared" si="15"/>
        <v>6.6062176165803113</v>
      </c>
      <c r="AE7" s="8">
        <v>26</v>
      </c>
      <c r="AF7" s="9">
        <v>11</v>
      </c>
      <c r="AG7" s="10">
        <v>36.799999999999997</v>
      </c>
      <c r="AH7" s="19">
        <f t="shared" si="16"/>
        <v>0.18333333333333332</v>
      </c>
      <c r="AI7" s="19">
        <f t="shared" si="17"/>
        <v>0.22020725388601037</v>
      </c>
      <c r="AJ7" s="19">
        <f t="shared" si="18"/>
        <v>-3.6873920552677047E-2</v>
      </c>
      <c r="AK7" s="20">
        <f t="shared" si="19"/>
        <v>13.212435233160623</v>
      </c>
      <c r="AL7" s="8">
        <v>62</v>
      </c>
      <c r="AM7" s="9">
        <v>-4</v>
      </c>
      <c r="AN7" s="10">
        <v>58.4</v>
      </c>
      <c r="AO7" s="19">
        <f t="shared" si="20"/>
        <v>-7.5471698113207544E-2</v>
      </c>
      <c r="AP7" s="19">
        <f t="shared" si="21"/>
        <v>0.22020725388601037</v>
      </c>
      <c r="AQ7" s="19">
        <f t="shared" si="22"/>
        <v>-0.2956789519992179</v>
      </c>
      <c r="AR7" s="20">
        <f t="shared" si="23"/>
        <v>11.67098445595855</v>
      </c>
      <c r="AS7" s="8">
        <v>58</v>
      </c>
      <c r="AT7" s="9">
        <v>5</v>
      </c>
      <c r="AU7" s="10">
        <v>63.4</v>
      </c>
      <c r="AV7" s="19">
        <f t="shared" si="24"/>
        <v>8.4745762711864403E-2</v>
      </c>
      <c r="AW7" s="19">
        <f t="shared" si="25"/>
        <v>0.22020725388601037</v>
      </c>
      <c r="AX7" s="19">
        <f t="shared" si="26"/>
        <v>-0.13546149117414596</v>
      </c>
      <c r="AY7" s="20">
        <f t="shared" si="27"/>
        <v>12.992227979274611</v>
      </c>
      <c r="AZ7" s="8">
        <v>63</v>
      </c>
      <c r="BA7" s="9">
        <v>-8</v>
      </c>
      <c r="BB7" s="10">
        <v>55.4</v>
      </c>
      <c r="BC7" s="19">
        <f t="shared" si="28"/>
        <v>-7.476635514018691E-2</v>
      </c>
      <c r="BD7" s="19">
        <f t="shared" si="29"/>
        <v>0.22020725388601037</v>
      </c>
      <c r="BE7" s="19">
        <f t="shared" si="30"/>
        <v>-0.29497360902619729</v>
      </c>
      <c r="BF7" s="20">
        <f t="shared" si="31"/>
        <v>23.562176165803109</v>
      </c>
      <c r="BG7" s="8">
        <v>55</v>
      </c>
      <c r="BH7" s="9">
        <v>-5</v>
      </c>
      <c r="BI7" s="10">
        <v>49.8</v>
      </c>
      <c r="BJ7" s="19">
        <f t="shared" si="32"/>
        <v>-4.0983606557377046E-2</v>
      </c>
      <c r="BK7" s="19">
        <f t="shared" si="33"/>
        <v>0.22020725388601037</v>
      </c>
      <c r="BL7" s="19">
        <f t="shared" si="34"/>
        <v>-0.26119086044338741</v>
      </c>
      <c r="BM7" s="20">
        <f t="shared" si="35"/>
        <v>26.865284974093264</v>
      </c>
      <c r="BN7" s="8">
        <v>50</v>
      </c>
      <c r="BO7" s="9">
        <v>-5</v>
      </c>
      <c r="BP7" s="10">
        <v>45</v>
      </c>
      <c r="BQ7" s="19">
        <f t="shared" si="36"/>
        <v>-0.12820512820512819</v>
      </c>
      <c r="BR7" s="19">
        <f t="shared" si="37"/>
        <v>0.22020725388601037</v>
      </c>
      <c r="BS7" s="19">
        <f t="shared" si="38"/>
        <v>-0.34841238209113856</v>
      </c>
      <c r="BT7" s="20">
        <f t="shared" si="39"/>
        <v>8.5880829015544045</v>
      </c>
      <c r="BU7" s="8">
        <v>45</v>
      </c>
      <c r="BV7" s="9">
        <v>4</v>
      </c>
      <c r="BW7" s="10">
        <v>49</v>
      </c>
      <c r="BX7" s="19">
        <f t="shared" si="40"/>
        <v>7.2727272727272724E-2</v>
      </c>
      <c r="BY7" s="19">
        <f t="shared" si="41"/>
        <v>0.22020725388601037</v>
      </c>
      <c r="BZ7" s="19">
        <f t="shared" si="42"/>
        <v>-0.14747998115873764</v>
      </c>
      <c r="CA7" s="20">
        <f t="shared" si="43"/>
        <v>12.11139896373057</v>
      </c>
      <c r="CB7" s="8">
        <v>45</v>
      </c>
      <c r="CC7" s="9">
        <v>-1</v>
      </c>
      <c r="CD7" s="10">
        <v>44</v>
      </c>
      <c r="CE7" s="19">
        <f t="shared" si="44"/>
        <v>-2.9411764705882353E-2</v>
      </c>
      <c r="CF7" s="19">
        <f t="shared" si="45"/>
        <v>0.22020725388601037</v>
      </c>
      <c r="CG7" s="19">
        <f t="shared" si="46"/>
        <v>-0.24961901859189273</v>
      </c>
      <c r="CH7" s="20">
        <f t="shared" si="47"/>
        <v>7.4870466321243523</v>
      </c>
      <c r="CI7" s="8">
        <v>44</v>
      </c>
      <c r="CJ7" s="9">
        <v>-4</v>
      </c>
      <c r="CK7" s="10">
        <v>40</v>
      </c>
      <c r="CL7" s="19">
        <f t="shared" si="48"/>
        <v>-0.11764705882352941</v>
      </c>
      <c r="CM7" s="19">
        <f t="shared" si="49"/>
        <v>0.22020725388601037</v>
      </c>
      <c r="CN7" s="19">
        <f t="shared" si="50"/>
        <v>-0.33785431270953981</v>
      </c>
      <c r="CO7" s="20">
        <f t="shared" si="51"/>
        <v>7.4870466321243523</v>
      </c>
      <c r="CP7" s="8">
        <v>40</v>
      </c>
      <c r="CQ7" s="9">
        <v>-5</v>
      </c>
      <c r="CR7" s="10">
        <v>34.9</v>
      </c>
      <c r="CS7" s="19">
        <f t="shared" si="52"/>
        <v>-0.45454545454545453</v>
      </c>
      <c r="CT7" s="19">
        <f t="shared" si="53"/>
        <v>0.22020725388601037</v>
      </c>
      <c r="CU7" s="19">
        <f t="shared" si="54"/>
        <v>-0.67475270843146484</v>
      </c>
      <c r="CV7" s="20">
        <f t="shared" si="55"/>
        <v>2.4222797927461142</v>
      </c>
      <c r="CW7" s="8">
        <v>35</v>
      </c>
      <c r="CX7" s="9">
        <v>2</v>
      </c>
      <c r="CY7" s="10">
        <v>37</v>
      </c>
      <c r="CZ7" s="19">
        <f t="shared" si="56"/>
        <v>-7.6923076923076927E-2</v>
      </c>
      <c r="DA7" s="19">
        <f t="shared" si="57"/>
        <v>0.22020725388601037</v>
      </c>
      <c r="DB7" s="19">
        <f t="shared" si="58"/>
        <v>-0.2971303308090873</v>
      </c>
      <c r="DC7" s="20">
        <f t="shared" si="59"/>
        <v>-5.7253886010362693</v>
      </c>
      <c r="DD7" s="8">
        <v>37</v>
      </c>
      <c r="DE7" s="9">
        <v>-3</v>
      </c>
      <c r="DF7" s="10">
        <v>34.299999999999997</v>
      </c>
      <c r="DG7" s="19">
        <f t="shared" si="60"/>
        <v>-0.17647058823529413</v>
      </c>
      <c r="DH7" s="19">
        <f t="shared" si="61"/>
        <v>0.22020725388601037</v>
      </c>
      <c r="DI7" s="19">
        <f t="shared" si="62"/>
        <v>-0.39667784212130452</v>
      </c>
      <c r="DJ7" s="20">
        <f t="shared" si="63"/>
        <v>3.7435233160621761</v>
      </c>
      <c r="DK7" s="8">
        <v>34</v>
      </c>
      <c r="DL7" s="9">
        <v>2</v>
      </c>
      <c r="DM7" s="10">
        <v>36</v>
      </c>
      <c r="DN7" s="19">
        <f t="shared" si="64"/>
        <v>-0.4</v>
      </c>
      <c r="DO7" s="19">
        <f t="shared" si="65"/>
        <v>0.22020725388601037</v>
      </c>
      <c r="DP7" s="19">
        <f t="shared" si="66"/>
        <v>-0.62020725388601039</v>
      </c>
      <c r="DQ7" s="20">
        <f t="shared" si="67"/>
        <v>-1.1010362694300517</v>
      </c>
      <c r="DR7" s="8">
        <v>36</v>
      </c>
      <c r="DS7" s="9">
        <v>-1</v>
      </c>
      <c r="DT7" s="10">
        <v>34.700000000000003</v>
      </c>
      <c r="DU7" s="19">
        <f t="shared" si="68"/>
        <v>-0.14285714285714285</v>
      </c>
      <c r="DV7" s="19">
        <f t="shared" si="69"/>
        <v>0.22020725388601037</v>
      </c>
      <c r="DW7" s="19">
        <f t="shared" si="70"/>
        <v>-0.36306439674315322</v>
      </c>
      <c r="DX7" s="20">
        <f t="shared" si="71"/>
        <v>1.5414507772020727</v>
      </c>
      <c r="DY7" s="8">
        <v>35</v>
      </c>
      <c r="DZ7" s="9">
        <v>1</v>
      </c>
      <c r="EA7" s="10">
        <v>35.9</v>
      </c>
      <c r="EB7" s="19">
        <f t="shared" si="72"/>
        <v>0.14285714285714285</v>
      </c>
      <c r="EC7" s="19">
        <f t="shared" si="73"/>
        <v>0.22020725388601037</v>
      </c>
      <c r="ED7" s="19">
        <f t="shared" si="74"/>
        <v>-7.7350111028867519E-2</v>
      </c>
      <c r="EE7" s="20">
        <f t="shared" si="75"/>
        <v>1.5414507772020727</v>
      </c>
      <c r="EF7" s="8">
        <v>36</v>
      </c>
      <c r="EG7" s="9">
        <v>1</v>
      </c>
      <c r="EH7" s="10">
        <v>36.9</v>
      </c>
      <c r="EI7" s="19">
        <f t="shared" si="76"/>
        <v>0.14285714285714285</v>
      </c>
      <c r="EJ7" s="19">
        <f t="shared" si="77"/>
        <v>0.22020725388601037</v>
      </c>
      <c r="EK7" s="19">
        <f t="shared" si="78"/>
        <v>-7.7350111028867519E-2</v>
      </c>
      <c r="EL7" s="20">
        <f t="shared" si="79"/>
        <v>1.5414507772020727</v>
      </c>
      <c r="EM7" s="8">
        <v>37</v>
      </c>
      <c r="EN7" s="9">
        <v>-4</v>
      </c>
      <c r="EO7" s="10">
        <v>32.6</v>
      </c>
      <c r="EP7" s="19">
        <f t="shared" si="80"/>
        <v>0.21052631578947367</v>
      </c>
      <c r="EQ7" s="19">
        <f t="shared" si="81"/>
        <v>0.22020725388601037</v>
      </c>
      <c r="ER7" s="19">
        <f t="shared" si="82"/>
        <v>-9.6809380965366953E-3</v>
      </c>
      <c r="ES7" s="20">
        <f t="shared" si="83"/>
        <v>-4.1839378238341967</v>
      </c>
      <c r="ET7" s="8">
        <v>33</v>
      </c>
      <c r="EU7" s="9">
        <v>0</v>
      </c>
      <c r="EV7" s="10">
        <v>32.799999999999997</v>
      </c>
      <c r="EW7" s="19">
        <f t="shared" si="84"/>
        <v>0</v>
      </c>
      <c r="EX7" s="19">
        <f t="shared" si="85"/>
        <v>0.22020725388601037</v>
      </c>
      <c r="EY7" s="19">
        <f t="shared" si="86"/>
        <v>-0.22020725388601037</v>
      </c>
      <c r="EZ7" s="20">
        <f t="shared" si="87"/>
        <v>0.22020725388601037</v>
      </c>
      <c r="FA7" s="8">
        <v>33</v>
      </c>
      <c r="FB7" s="9">
        <v>-5</v>
      </c>
      <c r="FC7" s="10">
        <v>28.1</v>
      </c>
      <c r="FD7" s="19">
        <f t="shared" si="88"/>
        <v>0.26315789473684209</v>
      </c>
      <c r="FE7" s="19">
        <f t="shared" si="89"/>
        <v>0.22020725388601037</v>
      </c>
      <c r="FF7" s="19">
        <f t="shared" si="90"/>
        <v>4.2950640850831723E-2</v>
      </c>
      <c r="FG7" s="20">
        <f t="shared" si="91"/>
        <v>-4.1839378238341967</v>
      </c>
      <c r="FH7" s="8">
        <v>28</v>
      </c>
      <c r="FI7" s="9">
        <v>10</v>
      </c>
      <c r="FJ7" s="10">
        <v>37.799999999999997</v>
      </c>
      <c r="FK7" s="19">
        <f t="shared" si="92"/>
        <v>10</v>
      </c>
      <c r="FL7" s="19">
        <f t="shared" si="93"/>
        <v>0</v>
      </c>
      <c r="FM7" s="19">
        <f t="shared" si="94"/>
        <v>10</v>
      </c>
      <c r="FN7" s="20">
        <f t="shared" si="95"/>
        <v>0</v>
      </c>
      <c r="FO7" s="8">
        <v>38</v>
      </c>
      <c r="FP7" s="9">
        <v>-6</v>
      </c>
      <c r="FQ7" s="10">
        <v>32.299999999999997</v>
      </c>
      <c r="FR7" s="19">
        <f t="shared" si="96"/>
        <v>0.31578947368421051</v>
      </c>
      <c r="FS7" s="19">
        <f t="shared" si="97"/>
        <v>0</v>
      </c>
      <c r="FT7" s="19">
        <f t="shared" si="98"/>
        <v>0.31578947368421051</v>
      </c>
      <c r="FU7" s="20">
        <f t="shared" si="99"/>
        <v>0</v>
      </c>
      <c r="FV7" s="8">
        <v>32</v>
      </c>
      <c r="FW7" s="9">
        <v>-6</v>
      </c>
      <c r="FX7" s="10">
        <v>25.5</v>
      </c>
      <c r="FY7" s="19">
        <f t="shared" si="100"/>
        <v>-6</v>
      </c>
      <c r="FZ7" s="19">
        <f t="shared" si="101"/>
        <v>0</v>
      </c>
      <c r="GA7" s="19">
        <f t="shared" si="102"/>
        <v>-6</v>
      </c>
      <c r="GB7" s="20">
        <f t="shared" si="103"/>
        <v>0</v>
      </c>
      <c r="GC7" s="8">
        <v>26</v>
      </c>
      <c r="GD7" s="9">
        <v>6</v>
      </c>
      <c r="GE7" s="10">
        <v>31.5</v>
      </c>
      <c r="GF7" s="19">
        <f t="shared" si="104"/>
        <v>-0.31578947368421051</v>
      </c>
      <c r="GG7" s="19">
        <f t="shared" si="105"/>
        <v>0</v>
      </c>
      <c r="GH7" s="19">
        <f t="shared" si="106"/>
        <v>-0.31578947368421051</v>
      </c>
      <c r="GI7" s="20">
        <f t="shared" si="107"/>
        <v>0</v>
      </c>
    </row>
    <row r="8" spans="1:191">
      <c r="D8" s="33">
        <f>SUM(D5:D7)</f>
        <v>0</v>
      </c>
      <c r="I8" s="35">
        <f>SUM(I5:I7)</f>
        <v>0</v>
      </c>
      <c r="K8" s="33">
        <f t="shared" ref="K8" si="108">SUM(K5:K7)</f>
        <v>38</v>
      </c>
      <c r="P8" s="35">
        <f t="shared" ref="P8" si="109">SUM(P5:P7)</f>
        <v>10.336787564766841</v>
      </c>
      <c r="R8" s="33">
        <f t="shared" ref="R8" si="110">SUM(R5:R7)</f>
        <v>21</v>
      </c>
      <c r="W8" s="35">
        <f t="shared" ref="W8" si="111">SUM(W5:W7)</f>
        <v>21</v>
      </c>
      <c r="Y8" s="33">
        <f t="shared" ref="Y8" si="112">SUM(Y5:Y7)</f>
        <v>30</v>
      </c>
      <c r="AD8" s="35">
        <f t="shared" ref="AD8" si="113">SUM(AD5:AD7)</f>
        <v>30</v>
      </c>
      <c r="AF8" s="33">
        <f t="shared" ref="AF8" si="114">SUM(AF5:AF7)</f>
        <v>60</v>
      </c>
      <c r="AK8" s="35">
        <f t="shared" ref="AK8" si="115">SUM(AK5:AK7)</f>
        <v>60</v>
      </c>
      <c r="AM8" s="33">
        <f t="shared" ref="AM8" si="116">SUM(AM5:AM7)</f>
        <v>53</v>
      </c>
      <c r="AR8" s="35">
        <f t="shared" ref="AR8" si="117">SUM(AR5:AR7)</f>
        <v>53</v>
      </c>
      <c r="AT8" s="33">
        <f t="shared" ref="AT8" si="118">SUM(AT5:AT7)</f>
        <v>59</v>
      </c>
      <c r="AY8" s="35">
        <f t="shared" ref="AY8" si="119">SUM(AY5:AY7)</f>
        <v>59</v>
      </c>
      <c r="BA8" s="33">
        <f t="shared" ref="BA8" si="120">SUM(BA5:BA7)</f>
        <v>107</v>
      </c>
      <c r="BF8" s="35">
        <f t="shared" ref="BF8" si="121">SUM(BF5:BF7)</f>
        <v>107</v>
      </c>
      <c r="BH8" s="33">
        <f t="shared" ref="BH8" si="122">SUM(BH5:BH7)</f>
        <v>122</v>
      </c>
      <c r="BM8" s="35">
        <f t="shared" ref="BM8" si="123">SUM(BM5:BM7)</f>
        <v>122</v>
      </c>
      <c r="BO8" s="33">
        <f t="shared" ref="BO8" si="124">SUM(BO5:BO7)</f>
        <v>39</v>
      </c>
      <c r="BT8" s="35">
        <f t="shared" ref="BT8" si="125">SUM(BT5:BT7)</f>
        <v>39</v>
      </c>
      <c r="BV8" s="33">
        <f t="shared" ref="BV8" si="126">SUM(BV5:BV7)</f>
        <v>55</v>
      </c>
      <c r="CA8" s="35">
        <f t="shared" ref="CA8" si="127">SUM(CA5:CA7)</f>
        <v>55.000000000000007</v>
      </c>
      <c r="CC8" s="33">
        <f t="shared" ref="CC8" si="128">SUM(CC5:CC7)</f>
        <v>34</v>
      </c>
      <c r="CH8" s="35">
        <f t="shared" ref="CH8" si="129">SUM(CH5:CH7)</f>
        <v>34</v>
      </c>
      <c r="CJ8" s="33">
        <f t="shared" ref="CJ8" si="130">SUM(CJ5:CJ7)</f>
        <v>34</v>
      </c>
      <c r="CO8" s="35">
        <f t="shared" ref="CO8" si="131">SUM(CO5:CO7)</f>
        <v>34</v>
      </c>
      <c r="CQ8" s="33">
        <f t="shared" ref="CQ8" si="132">SUM(CQ5:CQ7)</f>
        <v>11</v>
      </c>
      <c r="CV8" s="35">
        <f t="shared" ref="CV8" si="133">SUM(CV5:CV7)</f>
        <v>11</v>
      </c>
      <c r="CX8" s="33">
        <f t="shared" ref="CX8" si="134">SUM(CX5:CX7)</f>
        <v>-26</v>
      </c>
      <c r="DC8" s="35">
        <f t="shared" ref="DC8" si="135">SUM(DC5:DC7)</f>
        <v>-26</v>
      </c>
      <c r="DE8" s="33">
        <f t="shared" ref="DE8" si="136">SUM(DE5:DE7)</f>
        <v>17</v>
      </c>
      <c r="DJ8" s="35">
        <f t="shared" ref="DJ8" si="137">SUM(DJ5:DJ7)</f>
        <v>17</v>
      </c>
      <c r="DL8" s="33">
        <f t="shared" ref="DL8" si="138">SUM(DL5:DL7)</f>
        <v>-5</v>
      </c>
      <c r="DQ8" s="35">
        <f t="shared" ref="DQ8" si="139">SUM(DQ5:DQ7)</f>
        <v>-5</v>
      </c>
      <c r="DS8" s="33">
        <f t="shared" ref="DS8" si="140">SUM(DS5:DS7)</f>
        <v>7</v>
      </c>
      <c r="DX8" s="35">
        <f t="shared" ref="DX8" si="141">SUM(DX5:DX7)</f>
        <v>7</v>
      </c>
      <c r="DZ8" s="33">
        <f t="shared" ref="DZ8" si="142">SUM(DZ5:DZ7)</f>
        <v>7</v>
      </c>
      <c r="EE8" s="35">
        <f t="shared" ref="EE8" si="143">SUM(EE5:EE7)</f>
        <v>7</v>
      </c>
      <c r="EG8" s="33">
        <f t="shared" ref="EG8" si="144">SUM(EG5:EG7)</f>
        <v>7</v>
      </c>
      <c r="EL8" s="35">
        <f t="shared" ref="EL8" si="145">SUM(EL5:EL7)</f>
        <v>7</v>
      </c>
      <c r="EN8" s="33">
        <f t="shared" ref="EN8" si="146">SUM(EN5:EN7)</f>
        <v>-19</v>
      </c>
      <c r="ES8" s="35">
        <f t="shared" ref="ES8" si="147">SUM(ES5:ES7)</f>
        <v>-19</v>
      </c>
      <c r="EU8" s="33">
        <f t="shared" ref="EU8" si="148">SUM(EU5:EU7)</f>
        <v>1</v>
      </c>
      <c r="EZ8" s="35">
        <f t="shared" ref="EZ8" si="149">SUM(EZ5:EZ7)</f>
        <v>1</v>
      </c>
      <c r="FB8" s="33">
        <f t="shared" ref="FB8" si="150">SUM(FB5:FB7)</f>
        <v>-19</v>
      </c>
      <c r="FG8" s="35">
        <f t="shared" ref="FG8" si="151">SUM(FG5:FG7)</f>
        <v>-19</v>
      </c>
      <c r="FI8" s="33">
        <f t="shared" ref="FI8" si="152">SUM(FI5:FI7)</f>
        <v>29</v>
      </c>
      <c r="FN8" s="35">
        <f t="shared" ref="FN8" si="153">SUM(FN5:FN7)</f>
        <v>0</v>
      </c>
      <c r="FP8" s="33">
        <f t="shared" ref="FP8" si="154">SUM(FP5:FP7)</f>
        <v>5</v>
      </c>
      <c r="FU8" s="35">
        <f t="shared" ref="FU8" si="155">SUM(FU5:FU7)</f>
        <v>0</v>
      </c>
      <c r="FW8" s="33">
        <f t="shared" ref="FW8" si="156">SUM(FW5:FW7)</f>
        <v>-10</v>
      </c>
      <c r="GB8" s="35">
        <f t="shared" ref="GB8" si="157">SUM(GB5:GB7)</f>
        <v>0</v>
      </c>
      <c r="GD8" s="33">
        <f t="shared" ref="GD8" si="158">SUM(GD5:GD7)</f>
        <v>17</v>
      </c>
      <c r="GI8" s="35">
        <f t="shared" ref="GI8" si="159">SUM(GI5:GI7)</f>
        <v>0</v>
      </c>
    </row>
    <row r="9" spans="1:191">
      <c r="FY9" s="17">
        <v>0.78541666666666665</v>
      </c>
    </row>
    <row r="10" spans="1:191">
      <c r="A10" s="50" t="s">
        <v>20</v>
      </c>
      <c r="B10" s="50"/>
      <c r="I10" s="38">
        <f>I5-D5</f>
        <v>0</v>
      </c>
      <c r="P10" s="38">
        <f t="shared" ref="P10" si="160">P5-K5</f>
        <v>0.33678756476684057</v>
      </c>
      <c r="W10" s="38">
        <f t="shared" ref="W10" si="161">W5-R5</f>
        <v>-3.2875647668393775</v>
      </c>
      <c r="AD10" s="38">
        <f t="shared" ref="AD10" si="162">AD5-Y5</f>
        <v>1.1606217616580317</v>
      </c>
      <c r="AK10" s="38">
        <f t="shared" ref="AK10" si="163">AK5-AF5</f>
        <v>9.3212435233160633</v>
      </c>
      <c r="AR10" s="38">
        <f t="shared" ref="AR10" si="164">AR5-AM5</f>
        <v>43.417098445595855</v>
      </c>
      <c r="AY10" s="38">
        <f t="shared" ref="AY10" si="165">AY5-AT5</f>
        <v>39.049222797927463</v>
      </c>
      <c r="BF10" s="38">
        <f t="shared" ref="BF10" si="166">BF5-BA5</f>
        <v>-26.893782383419687</v>
      </c>
      <c r="BM10" s="38">
        <f t="shared" ref="BM10" si="167">BM5-BH5</f>
        <v>-15.813471502590673</v>
      </c>
      <c r="BT10" s="38">
        <f t="shared" ref="BT10" si="168">BT5-BO5</f>
        <v>16.608808290155441</v>
      </c>
      <c r="CA10" s="38">
        <f t="shared" ref="CA10" si="169">CA5-BV5</f>
        <v>9.9611398963730586</v>
      </c>
      <c r="CH10" s="38">
        <f t="shared" ref="CH10" si="170">CH5-CC5</f>
        <v>10.248704663212436</v>
      </c>
      <c r="CO10" s="38">
        <f t="shared" ref="CO10" si="171">CO5-CJ5</f>
        <v>14.248704663212436</v>
      </c>
      <c r="CV10" s="38">
        <f t="shared" ref="CV10" si="172">CV5-CQ5</f>
        <v>9.9922279792746114</v>
      </c>
      <c r="DC10" s="38">
        <f t="shared" ref="DC10" si="173">DC5-CX5</f>
        <v>-10.072538860103627</v>
      </c>
      <c r="DJ10" s="38">
        <f t="shared" ref="DJ10" si="174">DJ5-DE5</f>
        <v>8.6243523316062181</v>
      </c>
      <c r="DQ10" s="38">
        <f t="shared" ref="DQ10" si="175">DQ5-DL5</f>
        <v>-3.3601036269430056</v>
      </c>
      <c r="DX10" s="38">
        <f t="shared" ref="DX10" si="176">DX5-DS5</f>
        <v>3.9041450777202074</v>
      </c>
      <c r="EE10" s="38">
        <f t="shared" ref="EE10" si="177">EE5-DZ5</f>
        <v>-9.5854922279792643E-2</v>
      </c>
      <c r="EL10" s="38">
        <f t="shared" ref="EL10" si="178">EL5-EG5</f>
        <v>-1.0958549222797926</v>
      </c>
      <c r="ES10" s="38">
        <f t="shared" ref="ES10" si="179">ES5-EN5</f>
        <v>0.83160621761657971</v>
      </c>
      <c r="EZ10" s="38">
        <f t="shared" ref="EZ10" si="180">EZ5-EU5</f>
        <v>0.27202072538860106</v>
      </c>
      <c r="FG10" s="38">
        <f t="shared" ref="FG10" si="181">FG5-FB5</f>
        <v>0.83160621761657971</v>
      </c>
      <c r="FN10" s="38">
        <f t="shared" ref="FN10" si="182">FN5-FI5</f>
        <v>-12</v>
      </c>
      <c r="FU10" s="38">
        <f t="shared" ref="FU10" si="183">FU5-FP5</f>
        <v>-5</v>
      </c>
      <c r="GB10" s="38">
        <f t="shared" ref="GB10" si="184">GB5-FW5</f>
        <v>9</v>
      </c>
      <c r="GF10" s="17">
        <v>0.79513888888888884</v>
      </c>
      <c r="GI10" s="38">
        <f t="shared" ref="GI10" si="185">GI5-GD5</f>
        <v>-5</v>
      </c>
    </row>
    <row r="11" spans="1:191">
      <c r="A11" s="50" t="s">
        <v>21</v>
      </c>
      <c r="B11" s="50"/>
      <c r="F11" s="49"/>
      <c r="I11" s="39">
        <f>J3-C3</f>
        <v>1.5277777777777779E-2</v>
      </c>
      <c r="P11" s="39">
        <f t="shared" ref="P11" si="186">Q3-J3</f>
        <v>1.3888888888888895E-2</v>
      </c>
      <c r="W11" s="39">
        <f t="shared" ref="W11" si="187">X3-Q3</f>
        <v>1.041666666666663E-2</v>
      </c>
      <c r="AD11" s="39">
        <f t="shared" ref="AD11" si="188">AE3-X3</f>
        <v>2.0138888888888928E-2</v>
      </c>
      <c r="AK11" s="39">
        <f t="shared" ref="AK11" si="189">AL3-AE3</f>
        <v>8.7499999999999967E-2</v>
      </c>
      <c r="AR11" s="39">
        <f t="shared" ref="AR11" si="190">AS3-AL3</f>
        <v>9.7222222222222432E-3</v>
      </c>
      <c r="AY11" s="39">
        <f t="shared" ref="AY11" si="191">AZ3-AS3</f>
        <v>4.9305555555555491E-2</v>
      </c>
      <c r="BF11" s="39">
        <f t="shared" ref="BF11" si="192">BG3-AZ3</f>
        <v>4.1666666666667629E-3</v>
      </c>
      <c r="BM11" s="39">
        <f t="shared" ref="BM11" si="193">BN3-BG3</f>
        <v>2.7777777777777679E-2</v>
      </c>
      <c r="BT11" s="39">
        <f t="shared" ref="BT11" si="194">BU3-BN3</f>
        <v>1.2500000000000067E-2</v>
      </c>
      <c r="CA11" s="39">
        <f t="shared" ref="CA11" si="195">CB3-BU3</f>
        <v>2.7777777777777679E-3</v>
      </c>
      <c r="CH11" s="39">
        <f t="shared" ref="CH11" si="196">CI3-CB3</f>
        <v>1.736111111111116E-2</v>
      </c>
      <c r="CO11" s="39">
        <f t="shared" ref="CO11" si="197">CP3-CI3</f>
        <v>1.1111111111111072E-2</v>
      </c>
      <c r="CV11" s="39">
        <f t="shared" ref="CV11" si="198">CW3-CP3</f>
        <v>9.0277777777777457E-3</v>
      </c>
      <c r="DC11" s="39">
        <f t="shared" ref="DC11" si="199">DD3-CW3</f>
        <v>2.2222222222222254E-2</v>
      </c>
      <c r="DJ11" s="39">
        <f t="shared" ref="DJ11" si="200">DK3-DD3</f>
        <v>1.9444444444444486E-2</v>
      </c>
      <c r="DQ11" s="39">
        <f t="shared" ref="DQ11" si="201">DR3-DK3</f>
        <v>3.1944444444444442E-2</v>
      </c>
      <c r="DX11" s="39">
        <f t="shared" ref="DX11" si="202">DY3-DR3</f>
        <v>9.0277777777777457E-3</v>
      </c>
      <c r="EE11" s="39">
        <f t="shared" ref="EE11" si="203">EF3-DY3</f>
        <v>1.2499999999999956E-2</v>
      </c>
      <c r="EL11" s="39">
        <f t="shared" ref="EL11" si="204">EM3-EF3</f>
        <v>3.125E-2</v>
      </c>
      <c r="ES11" s="39">
        <f t="shared" ref="ES11" si="205">ET3-EM3</f>
        <v>1.9444444444444486E-2</v>
      </c>
      <c r="EZ11" s="39">
        <f t="shared" ref="EZ11" si="206">FA3-ET3</f>
        <v>6.2499999999999778E-3</v>
      </c>
      <c r="FG11" s="39">
        <f t="shared" ref="FG11" si="207">FH3-FA3</f>
        <v>2.2916666666666696E-2</v>
      </c>
      <c r="FN11" s="39">
        <f t="shared" ref="FN11" si="208">FO3-FH3</f>
        <v>6.2499999999999778E-3</v>
      </c>
      <c r="FR11" s="17"/>
      <c r="FU11" s="39">
        <f t="shared" ref="FU11" si="209">FV3-FO3</f>
        <v>4.8611111111110938E-3</v>
      </c>
      <c r="GB11" s="39">
        <f t="shared" ref="GB11" si="210">GC3-FV3</f>
        <v>9.7222222222221877E-3</v>
      </c>
      <c r="GI11" s="39">
        <f>GJ3-GI3</f>
        <v>0</v>
      </c>
    </row>
    <row r="12" spans="1:191">
      <c r="A12" s="36" t="s">
        <v>1</v>
      </c>
      <c r="B12" s="36">
        <f>SUM(C12:FN12)</f>
        <v>5.1092310736902673E-2</v>
      </c>
      <c r="I12" s="40">
        <f>(I10*I11)/60</f>
        <v>0</v>
      </c>
      <c r="P12" s="40">
        <f t="shared" ref="P12" si="211">(P10*P11)/60</f>
        <v>7.7960084436768686E-5</v>
      </c>
      <c r="W12" s="40">
        <f t="shared" ref="W12" si="212">(W10*W11)/60</f>
        <v>-5.7075777202072325E-4</v>
      </c>
      <c r="AD12" s="40">
        <f t="shared" ref="AD12" si="213">(AD10*AD11)/60</f>
        <v>3.8956054500096049E-4</v>
      </c>
      <c r="AK12" s="40">
        <f t="shared" ref="AK12" si="214">(AK10*AK11)/60</f>
        <v>1.3593480138169254E-2</v>
      </c>
      <c r="AR12" s="40">
        <f t="shared" ref="AR12" si="215">(AR10*AR11)/60</f>
        <v>7.0351779888697136E-3</v>
      </c>
      <c r="AY12" s="40">
        <f t="shared" ref="AY12" si="216">(AY10*AY11)/60</f>
        <v>3.2089060401074607E-2</v>
      </c>
      <c r="BF12" s="40">
        <f t="shared" ref="BF12" si="217">(BF10*BF11)/60</f>
        <v>-1.8676237766264104E-3</v>
      </c>
      <c r="BM12" s="40">
        <f t="shared" ref="BM12" si="218">(BM10*BM11)/60</f>
        <v>-7.32105162156973E-3</v>
      </c>
      <c r="BT12" s="40">
        <f t="shared" ref="BT12" si="219">(BT10*BT11)/60</f>
        <v>3.4601683937824021E-3</v>
      </c>
      <c r="CA12" s="40">
        <f t="shared" ref="CA12" si="220">(CA10*CA11)/60</f>
        <v>4.611638840913437E-4</v>
      </c>
      <c r="CH12" s="40">
        <f t="shared" ref="CH12" si="221">(CH10*CH11)/60</f>
        <v>2.9654816733832366E-3</v>
      </c>
      <c r="CO12" s="40">
        <f t="shared" ref="CO12" si="222">(CO10*CO11)/60</f>
        <v>2.6386490117059971E-3</v>
      </c>
      <c r="CV12" s="40">
        <f t="shared" ref="CV12" si="223">(CV10*CV11)/60</f>
        <v>1.5034602283630727E-3</v>
      </c>
      <c r="DC12" s="40">
        <f t="shared" ref="DC12" si="224">(DC10*DC11)/60</f>
        <v>-3.730569948186534E-3</v>
      </c>
      <c r="DJ12" s="40">
        <f t="shared" ref="DJ12" si="225">(DJ10*DJ11)/60</f>
        <v>2.7949289963538726E-3</v>
      </c>
      <c r="DQ12" s="40">
        <f t="shared" ref="DQ12" si="226">(DQ10*DQ11)/60</f>
        <v>-1.7889440606409519E-3</v>
      </c>
      <c r="DX12" s="40">
        <f t="shared" ref="DX12" si="227">(DX10*DX11)/60</f>
        <v>5.8742923623104763E-4</v>
      </c>
      <c r="EE12" s="40">
        <f t="shared" ref="EE12" si="228">(EE10*EE11)/60</f>
        <v>-1.9969775474956728E-5</v>
      </c>
      <c r="EL12" s="40">
        <f t="shared" ref="EL12" si="229">(EL10*EL11)/60</f>
        <v>-5.7075777202072531E-4</v>
      </c>
      <c r="ES12" s="40">
        <f t="shared" ref="ES12" si="230">(ES10*ES11)/60</f>
        <v>2.695020149683366E-4</v>
      </c>
      <c r="EZ12" s="40">
        <f t="shared" ref="EZ12" si="231">(EZ10*EZ11)/60</f>
        <v>2.8335492227979177E-5</v>
      </c>
      <c r="FG12" s="40">
        <f t="shared" ref="FG12" si="232">(FG10*FG11)/60</f>
        <v>3.1762737478411071E-4</v>
      </c>
      <c r="FN12" s="40">
        <f t="shared" ref="FN12" si="233">(FN10*FN11)/60</f>
        <v>-1.2499999999999955E-3</v>
      </c>
      <c r="FU12" s="40">
        <f t="shared" ref="FU12" si="234">(FU10*FU11)/60</f>
        <v>-4.0509259259259117E-4</v>
      </c>
      <c r="GB12" s="40">
        <f t="shared" ref="GB12" si="235">(GB10*GB11)/60</f>
        <v>1.4583333333333282E-3</v>
      </c>
      <c r="GI12" s="40">
        <f t="shared" ref="GI12" si="236">(GI10*GI11)/60</f>
        <v>0</v>
      </c>
    </row>
    <row r="13" spans="1:191">
      <c r="A13" t="s">
        <v>2</v>
      </c>
      <c r="B13" s="37">
        <v>80</v>
      </c>
    </row>
    <row r="14" spans="1:191">
      <c r="A14" t="s">
        <v>3</v>
      </c>
      <c r="B14" s="37">
        <f>B12*B13</f>
        <v>4.0873848589522135</v>
      </c>
    </row>
    <row r="15" spans="1:191" ht="30">
      <c r="A15" s="22" t="s">
        <v>46</v>
      </c>
      <c r="B15" s="23" t="s">
        <v>23</v>
      </c>
      <c r="C15" s="22" t="s">
        <v>24</v>
      </c>
    </row>
    <row r="16" spans="1:191" ht="15.75" thickBot="1">
      <c r="A16" s="24">
        <v>105</v>
      </c>
      <c r="B16" s="25" t="s">
        <v>17</v>
      </c>
      <c r="C16" s="26">
        <f>A16/$A$19</f>
        <v>0.27202072538860106</v>
      </c>
    </row>
    <row r="17" spans="1:187" ht="15.75" thickBot="1">
      <c r="A17" s="24">
        <v>196</v>
      </c>
      <c r="B17" s="25" t="s">
        <v>18</v>
      </c>
      <c r="C17" s="26">
        <f t="shared" ref="C17:C18" si="237">A17/$A$19</f>
        <v>0.50777202072538863</v>
      </c>
      <c r="ET17" s="48"/>
      <c r="GD17" s="3"/>
      <c r="GE17" s="4"/>
    </row>
    <row r="18" spans="1:187">
      <c r="A18" s="24">
        <v>85</v>
      </c>
      <c r="B18" s="25" t="s">
        <v>19</v>
      </c>
      <c r="C18" s="26">
        <f t="shared" si="237"/>
        <v>0.22020725388601037</v>
      </c>
    </row>
    <row r="19" spans="1:187">
      <c r="A19" s="27">
        <f>SUM(A16:A18)</f>
        <v>386</v>
      </c>
      <c r="B19" s="28"/>
      <c r="C19" s="29"/>
    </row>
    <row r="114" spans="3:29">
      <c r="C114" s="17">
        <v>0.30833333333333335</v>
      </c>
      <c r="D114" s="17">
        <v>0.32361111111111113</v>
      </c>
      <c r="E114" s="17">
        <v>0.33750000000000002</v>
      </c>
      <c r="F114" s="17">
        <v>0.34791666666666665</v>
      </c>
      <c r="G114" s="17">
        <v>0.36805555555555558</v>
      </c>
      <c r="H114" s="17">
        <v>0.45555555555555555</v>
      </c>
      <c r="I114" s="17">
        <v>0.46527777777777779</v>
      </c>
      <c r="J114" s="17">
        <v>0.51458333333333328</v>
      </c>
      <c r="K114" s="17">
        <v>0.51875000000000004</v>
      </c>
      <c r="L114" s="17">
        <v>0.54652777777777772</v>
      </c>
      <c r="M114" s="17">
        <v>0.55902777777777779</v>
      </c>
      <c r="N114" s="17">
        <v>0.56180555555555556</v>
      </c>
      <c r="O114" s="17">
        <v>0.57916666666666672</v>
      </c>
      <c r="P114" s="17">
        <v>0.59027777777777779</v>
      </c>
      <c r="Q114" s="17">
        <v>0.59930555555555554</v>
      </c>
      <c r="R114" s="17">
        <v>0.62152777777777779</v>
      </c>
      <c r="S114" s="17">
        <v>0.64097222222222228</v>
      </c>
      <c r="T114" s="17">
        <v>0.67291666666666672</v>
      </c>
      <c r="U114" s="17">
        <v>0.68194444444444446</v>
      </c>
      <c r="V114" s="17">
        <v>0.69444444444444442</v>
      </c>
      <c r="W114" s="17">
        <v>0.72569444444444442</v>
      </c>
      <c r="X114" s="17">
        <v>0.74513888888888891</v>
      </c>
      <c r="Y114" s="17">
        <v>0.75138888888888888</v>
      </c>
      <c r="Z114" s="17">
        <v>0.77430555555555558</v>
      </c>
      <c r="AA114" s="17">
        <v>0.78055555555555556</v>
      </c>
      <c r="AB114" s="17">
        <v>0.78541666666666665</v>
      </c>
      <c r="AC114" s="17">
        <v>0.79513888888888884</v>
      </c>
    </row>
    <row r="115" spans="3:29">
      <c r="C115" s="33">
        <f>E5</f>
        <v>14.3</v>
      </c>
      <c r="D115" s="33">
        <f>L5</f>
        <v>24.3</v>
      </c>
      <c r="E115" s="33">
        <f>S5</f>
        <v>32.799999999999997</v>
      </c>
      <c r="F115" s="33">
        <f>Z5</f>
        <v>40</v>
      </c>
      <c r="G115" s="33">
        <f>AG5</f>
        <v>46.8</v>
      </c>
      <c r="H115" s="33">
        <f>AN5</f>
        <v>74.3</v>
      </c>
      <c r="I115" s="33">
        <f>AU5</f>
        <v>80.599999999999994</v>
      </c>
      <c r="J115" s="33">
        <f>BB5</f>
        <v>70.5</v>
      </c>
      <c r="K115" s="33">
        <f>BI5</f>
        <v>63.4</v>
      </c>
      <c r="L115" s="33">
        <f>BP5</f>
        <v>57.2</v>
      </c>
      <c r="M115" s="33">
        <f>BW5</f>
        <v>62.3</v>
      </c>
      <c r="N115" s="33">
        <f>CD5</f>
        <v>56</v>
      </c>
      <c r="O115" s="33">
        <f>CK5</f>
        <v>50.9</v>
      </c>
      <c r="P115" s="33">
        <f>CR5</f>
        <v>44.4</v>
      </c>
      <c r="Q115" s="33">
        <f>CY5</f>
        <v>47</v>
      </c>
      <c r="R115" s="33">
        <f>DF5</f>
        <v>43.6</v>
      </c>
      <c r="S115" s="33">
        <f>DM5</f>
        <v>45.7</v>
      </c>
      <c r="T115" s="33">
        <f>DT5</f>
        <v>44.1</v>
      </c>
      <c r="U115" s="33">
        <f>EA5</f>
        <v>45.7</v>
      </c>
      <c r="V115" s="33">
        <f>EH5</f>
        <v>46.9</v>
      </c>
      <c r="W115" s="33">
        <f>EO5</f>
        <v>41.5</v>
      </c>
      <c r="X115" s="33">
        <f>EV5</f>
        <v>41.7</v>
      </c>
      <c r="Y115" s="33">
        <f>FC5</f>
        <v>35.700000000000003</v>
      </c>
      <c r="Z115" s="33">
        <f>FJ5</f>
        <v>48.1</v>
      </c>
      <c r="AA115" s="33">
        <f>FQ5</f>
        <v>41.1</v>
      </c>
      <c r="AB115" s="33">
        <f>FX5</f>
        <v>32.5</v>
      </c>
      <c r="AC115" s="33">
        <f>GE5</f>
        <v>38.200000000000003</v>
      </c>
    </row>
    <row r="116" spans="3:29">
      <c r="C116" s="33">
        <f>E6</f>
        <v>5.4</v>
      </c>
      <c r="D116" s="33">
        <f>L6</f>
        <v>26.5</v>
      </c>
      <c r="E116" s="33">
        <f>S6</f>
        <v>42.3</v>
      </c>
      <c r="F116" s="33">
        <f>Z6</f>
        <v>55</v>
      </c>
      <c r="G116" s="33">
        <f>AG6</f>
        <v>81.099999999999994</v>
      </c>
      <c r="H116" s="33">
        <f>AN6</f>
        <v>134.69999999999999</v>
      </c>
      <c r="I116" s="33">
        <f>AU6</f>
        <v>146.30000000000001</v>
      </c>
      <c r="J116" s="33">
        <f>BB6</f>
        <v>127.8</v>
      </c>
      <c r="K116" s="33">
        <f>BI6</f>
        <v>115</v>
      </c>
      <c r="L116" s="33">
        <f>BP6</f>
        <v>103.8</v>
      </c>
      <c r="M116" s="33">
        <f>BW6</f>
        <v>113</v>
      </c>
      <c r="N116" s="33">
        <f>CD6</f>
        <v>101.5</v>
      </c>
      <c r="O116" s="33">
        <f>CK6</f>
        <v>92.3</v>
      </c>
      <c r="P116" s="33">
        <f>CR6</f>
        <v>80.5</v>
      </c>
      <c r="Q116" s="33">
        <f>CY6</f>
        <v>84.4</v>
      </c>
      <c r="R116" s="33">
        <f>DF6</f>
        <v>81.599999999999994</v>
      </c>
      <c r="S116" s="33">
        <f>DM6</f>
        <v>71.3</v>
      </c>
      <c r="T116" s="33">
        <f>DT6</f>
        <v>80</v>
      </c>
      <c r="U116" s="33">
        <f>EA6</f>
        <v>82.8</v>
      </c>
      <c r="V116" s="33">
        <f>EH6</f>
        <v>85</v>
      </c>
      <c r="W116" s="33">
        <f>EO6</f>
        <v>75.2</v>
      </c>
      <c r="X116" s="33">
        <f>EV6</f>
        <v>75.7</v>
      </c>
      <c r="Y116" s="33">
        <f>FC6</f>
        <v>64.8</v>
      </c>
      <c r="Z116" s="33">
        <f>FJ6</f>
        <v>46.7</v>
      </c>
      <c r="AA116" s="33">
        <f>FQ6</f>
        <v>37.6</v>
      </c>
      <c r="AB116" s="33">
        <f>FX6</f>
        <v>30</v>
      </c>
      <c r="AC116" s="33">
        <f>GE6</f>
        <v>20.100000000000001</v>
      </c>
    </row>
    <row r="117" spans="3:29">
      <c r="C117" s="33">
        <f>E7</f>
        <v>10.5</v>
      </c>
      <c r="D117" s="33">
        <f>L7</f>
        <v>19.100000000000001</v>
      </c>
      <c r="E117" s="33">
        <f>S7</f>
        <v>25.8</v>
      </c>
      <c r="F117" s="33">
        <f>Z7</f>
        <v>31.5</v>
      </c>
      <c r="G117" s="33">
        <f>AG7</f>
        <v>36.799999999999997</v>
      </c>
      <c r="H117" s="33">
        <f>AN7</f>
        <v>58.4</v>
      </c>
      <c r="I117" s="33">
        <f>AU7</f>
        <v>63.4</v>
      </c>
      <c r="J117" s="33">
        <f>BB7</f>
        <v>55.4</v>
      </c>
      <c r="K117" s="33">
        <f>BI7</f>
        <v>49.8</v>
      </c>
      <c r="L117" s="33">
        <f>BP7</f>
        <v>45</v>
      </c>
      <c r="M117" s="33">
        <f>BW7</f>
        <v>49</v>
      </c>
      <c r="N117" s="33">
        <f>CD7</f>
        <v>44</v>
      </c>
      <c r="O117" s="33">
        <f>CK7</f>
        <v>40</v>
      </c>
      <c r="P117" s="33">
        <f>CR7</f>
        <v>34.9</v>
      </c>
      <c r="Q117" s="33">
        <f>CY7</f>
        <v>37</v>
      </c>
      <c r="R117" s="33">
        <f>DF7</f>
        <v>34.299999999999997</v>
      </c>
      <c r="S117" s="33">
        <f>DM7</f>
        <v>36</v>
      </c>
      <c r="T117" s="33">
        <f>DT7</f>
        <v>34.700000000000003</v>
      </c>
      <c r="U117" s="33">
        <f>EA7</f>
        <v>35.9</v>
      </c>
      <c r="V117" s="33">
        <f>EH7</f>
        <v>36.9</v>
      </c>
      <c r="W117" s="33">
        <f>EO7</f>
        <v>32.6</v>
      </c>
      <c r="X117" s="33">
        <f>EV7</f>
        <v>32.799999999999997</v>
      </c>
      <c r="Y117" s="33">
        <f>FC7</f>
        <v>28.1</v>
      </c>
      <c r="Z117" s="33">
        <f>FJ7</f>
        <v>37.799999999999997</v>
      </c>
      <c r="AA117" s="33">
        <f>FQ7</f>
        <v>32.299999999999997</v>
      </c>
      <c r="AB117" s="33">
        <f>FX7</f>
        <v>25.5</v>
      </c>
      <c r="AC117" s="33">
        <f>GE7</f>
        <v>31.5</v>
      </c>
    </row>
  </sheetData>
  <mergeCells count="31">
    <mergeCell ref="FV3:GB3"/>
    <mergeCell ref="GC3:GI3"/>
    <mergeCell ref="C3:I3"/>
    <mergeCell ref="J3:P3"/>
    <mergeCell ref="Q3:W3"/>
    <mergeCell ref="X3:AD3"/>
    <mergeCell ref="AE3:AK3"/>
    <mergeCell ref="AL3:AR3"/>
    <mergeCell ref="AS3:AY3"/>
    <mergeCell ref="AZ3:BF3"/>
    <mergeCell ref="BG3:BM3"/>
    <mergeCell ref="BN3:BT3"/>
    <mergeCell ref="BU3:CA3"/>
    <mergeCell ref="CB3:CH3"/>
    <mergeCell ref="CI3:CO3"/>
    <mergeCell ref="CP3:CV3"/>
    <mergeCell ref="A10:B10"/>
    <mergeCell ref="A11:B11"/>
    <mergeCell ref="FA3:FG3"/>
    <mergeCell ref="FH3:FN3"/>
    <mergeCell ref="FO3:FU3"/>
    <mergeCell ref="CW3:DC3"/>
    <mergeCell ref="DD3:DJ3"/>
    <mergeCell ref="DK3:DQ3"/>
    <mergeCell ref="DR3:DX3"/>
    <mergeCell ref="A3:A4"/>
    <mergeCell ref="B3:B4"/>
    <mergeCell ref="DY3:EE3"/>
    <mergeCell ref="EF3:EL3"/>
    <mergeCell ref="EM3:ES3"/>
    <mergeCell ref="ET3:EZ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83D7-240A-4E34-972B-28427BFF5462}">
  <dimension ref="A1:EL117"/>
  <sheetViews>
    <sheetView tabSelected="1" workbookViewId="0">
      <selection activeCell="B28" sqref="B28"/>
    </sheetView>
  </sheetViews>
  <sheetFormatPr defaultColWidth="9.140625" defaultRowHeight="15"/>
  <cols>
    <col min="1" max="1" width="15" customWidth="1"/>
    <col min="2" max="2" width="25" customWidth="1"/>
    <col min="3" max="141" width="14" customWidth="1"/>
    <col min="142" max="142" width="18.42578125" customWidth="1"/>
  </cols>
  <sheetData>
    <row r="1" spans="1:142" ht="27" customHeight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</row>
    <row r="2" spans="1:142" ht="27" customHeight="1" thickBot="1">
      <c r="A2" s="2"/>
    </row>
    <row r="3" spans="1:142" ht="16.5" thickBot="1">
      <c r="A3" s="63" t="s">
        <v>5</v>
      </c>
      <c r="B3" s="64" t="s">
        <v>6</v>
      </c>
      <c r="C3" s="55">
        <v>0.30555555555555558</v>
      </c>
      <c r="D3" s="56"/>
      <c r="E3" s="56"/>
      <c r="F3" s="56"/>
      <c r="G3" s="56"/>
      <c r="H3" s="56"/>
      <c r="I3" s="57"/>
      <c r="J3" s="52">
        <v>0.3215277777777778</v>
      </c>
      <c r="K3" s="53"/>
      <c r="L3" s="53"/>
      <c r="M3" s="53"/>
      <c r="N3" s="53"/>
      <c r="O3" s="53"/>
      <c r="P3" s="54"/>
      <c r="Q3" s="55">
        <v>0.3347222222222222</v>
      </c>
      <c r="R3" s="56"/>
      <c r="S3" s="56"/>
      <c r="T3" s="56"/>
      <c r="U3" s="56"/>
      <c r="V3" s="56"/>
      <c r="W3" s="57"/>
      <c r="X3" s="52">
        <v>0.33819444444444446</v>
      </c>
      <c r="Y3" s="53"/>
      <c r="Z3" s="53"/>
      <c r="AA3" s="53"/>
      <c r="AB3" s="53"/>
      <c r="AC3" s="53"/>
      <c r="AD3" s="54"/>
      <c r="AE3" s="55">
        <v>0.34305555555555556</v>
      </c>
      <c r="AF3" s="56"/>
      <c r="AG3" s="56"/>
      <c r="AH3" s="56"/>
      <c r="AI3" s="56"/>
      <c r="AJ3" s="56"/>
      <c r="AK3" s="57"/>
      <c r="AL3" s="55">
        <v>0.34861111111111109</v>
      </c>
      <c r="AM3" s="56"/>
      <c r="AN3" s="56"/>
      <c r="AO3" s="56"/>
      <c r="AP3" s="56"/>
      <c r="AQ3" s="56"/>
      <c r="AR3" s="57"/>
      <c r="AS3" s="52">
        <v>0.35347222222222224</v>
      </c>
      <c r="AT3" s="53"/>
      <c r="AU3" s="53"/>
      <c r="AV3" s="53"/>
      <c r="AW3" s="53"/>
      <c r="AX3" s="53"/>
      <c r="AY3" s="54"/>
      <c r="AZ3" s="60">
        <v>0.37569444444444444</v>
      </c>
      <c r="BA3" s="61"/>
      <c r="BB3" s="61"/>
      <c r="BC3" s="61"/>
      <c r="BD3" s="61"/>
      <c r="BE3" s="61"/>
      <c r="BF3" s="62"/>
      <c r="BG3" s="52">
        <v>0.37777777777777777</v>
      </c>
      <c r="BH3" s="53"/>
      <c r="BI3" s="53"/>
      <c r="BJ3" s="53"/>
      <c r="BK3" s="53"/>
      <c r="BL3" s="53"/>
      <c r="BM3" s="54"/>
      <c r="BN3" s="60">
        <v>0.48194444444444445</v>
      </c>
      <c r="BO3" s="61"/>
      <c r="BP3" s="61"/>
      <c r="BQ3" s="61"/>
      <c r="BR3" s="61"/>
      <c r="BS3" s="61"/>
      <c r="BT3" s="62"/>
      <c r="BU3" s="52">
        <v>0.52430555555555558</v>
      </c>
      <c r="BV3" s="53"/>
      <c r="BW3" s="53"/>
      <c r="BX3" s="53"/>
      <c r="BY3" s="53"/>
      <c r="BZ3" s="53"/>
      <c r="CA3" s="54"/>
      <c r="CB3" s="60">
        <v>0.53541666666666665</v>
      </c>
      <c r="CC3" s="61"/>
      <c r="CD3" s="61"/>
      <c r="CE3" s="61"/>
      <c r="CF3" s="61"/>
      <c r="CG3" s="61"/>
      <c r="CH3" s="62"/>
      <c r="CI3" s="52">
        <v>0.56180555555555556</v>
      </c>
      <c r="CJ3" s="53"/>
      <c r="CK3" s="53"/>
      <c r="CL3" s="53"/>
      <c r="CM3" s="53"/>
      <c r="CN3" s="53"/>
      <c r="CO3" s="54"/>
      <c r="CP3" s="60">
        <v>0.56666666666666665</v>
      </c>
      <c r="CQ3" s="61"/>
      <c r="CR3" s="61"/>
      <c r="CS3" s="61"/>
      <c r="CT3" s="61"/>
      <c r="CU3" s="61"/>
      <c r="CV3" s="62"/>
      <c r="CW3" s="52">
        <v>0.58194444444444449</v>
      </c>
      <c r="CX3" s="53"/>
      <c r="CY3" s="53"/>
      <c r="CZ3" s="53"/>
      <c r="DA3" s="53"/>
      <c r="DB3" s="53"/>
      <c r="DC3" s="54"/>
      <c r="DD3" s="60">
        <v>0.58819444444444446</v>
      </c>
      <c r="DE3" s="61"/>
      <c r="DF3" s="61"/>
      <c r="DG3" s="61"/>
      <c r="DH3" s="61"/>
      <c r="DI3" s="61"/>
      <c r="DJ3" s="62"/>
      <c r="DK3" s="52">
        <v>0.6166666666666667</v>
      </c>
      <c r="DL3" s="53"/>
      <c r="DM3" s="53"/>
      <c r="DN3" s="53"/>
      <c r="DO3" s="53"/>
      <c r="DP3" s="53"/>
      <c r="DQ3" s="54"/>
      <c r="DR3" s="60">
        <v>0.63472222222222219</v>
      </c>
      <c r="DS3" s="61"/>
      <c r="DT3" s="61"/>
      <c r="DU3" s="61"/>
      <c r="DV3" s="61"/>
      <c r="DW3" s="61"/>
      <c r="DX3" s="62"/>
      <c r="DY3" s="52">
        <v>0.65</v>
      </c>
      <c r="DZ3" s="53"/>
      <c r="EA3" s="53"/>
      <c r="EB3" s="53"/>
      <c r="EC3" s="53"/>
      <c r="ED3" s="53"/>
      <c r="EE3" s="54"/>
      <c r="EF3" s="60">
        <v>0.74444444444444446</v>
      </c>
      <c r="EG3" s="61"/>
      <c r="EH3" s="61"/>
      <c r="EI3" s="61"/>
      <c r="EJ3" s="61"/>
      <c r="EK3" s="61"/>
      <c r="EL3" s="62"/>
    </row>
    <row r="4" spans="1:142" ht="64.5" thickBot="1">
      <c r="A4" s="68"/>
      <c r="B4" s="68"/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1" t="s">
        <v>7</v>
      </c>
      <c r="K4" s="31" t="s">
        <v>8</v>
      </c>
      <c r="L4" s="31" t="s">
        <v>9</v>
      </c>
      <c r="M4" s="32" t="s">
        <v>10</v>
      </c>
      <c r="N4" s="32" t="s">
        <v>11</v>
      </c>
      <c r="O4" s="32" t="s">
        <v>12</v>
      </c>
      <c r="P4" s="32" t="s">
        <v>13</v>
      </c>
      <c r="Q4" s="34" t="s">
        <v>7</v>
      </c>
      <c r="R4" s="34" t="s">
        <v>8</v>
      </c>
      <c r="S4" s="34" t="s">
        <v>9</v>
      </c>
      <c r="T4" s="30" t="s">
        <v>10</v>
      </c>
      <c r="U4" s="30" t="s">
        <v>11</v>
      </c>
      <c r="V4" s="30" t="s">
        <v>12</v>
      </c>
      <c r="W4" s="30" t="s">
        <v>13</v>
      </c>
      <c r="X4" s="31" t="s">
        <v>7</v>
      </c>
      <c r="Y4" s="31" t="s">
        <v>8</v>
      </c>
      <c r="Z4" s="31" t="s">
        <v>9</v>
      </c>
      <c r="AA4" s="32" t="s">
        <v>10</v>
      </c>
      <c r="AB4" s="32" t="s">
        <v>11</v>
      </c>
      <c r="AC4" s="32" t="s">
        <v>12</v>
      </c>
      <c r="AD4" s="32" t="s">
        <v>13</v>
      </c>
      <c r="AE4" s="34" t="s">
        <v>7</v>
      </c>
      <c r="AF4" s="34" t="s">
        <v>8</v>
      </c>
      <c r="AG4" s="34" t="s">
        <v>9</v>
      </c>
      <c r="AH4" s="30" t="s">
        <v>10</v>
      </c>
      <c r="AI4" s="30" t="s">
        <v>11</v>
      </c>
      <c r="AJ4" s="30" t="s">
        <v>12</v>
      </c>
      <c r="AK4" s="30" t="s">
        <v>13</v>
      </c>
      <c r="AL4" s="30" t="s">
        <v>7</v>
      </c>
      <c r="AM4" s="30" t="s">
        <v>8</v>
      </c>
      <c r="AN4" s="30" t="s">
        <v>9</v>
      </c>
      <c r="AO4" s="30" t="s">
        <v>10</v>
      </c>
      <c r="AP4" s="30" t="s">
        <v>11</v>
      </c>
      <c r="AQ4" s="30" t="s">
        <v>12</v>
      </c>
      <c r="AR4" s="30" t="s">
        <v>13</v>
      </c>
      <c r="AS4" s="31" t="s">
        <v>7</v>
      </c>
      <c r="AT4" s="31" t="s">
        <v>8</v>
      </c>
      <c r="AU4" s="31" t="s">
        <v>9</v>
      </c>
      <c r="AV4" s="32" t="s">
        <v>10</v>
      </c>
      <c r="AW4" s="32" t="s">
        <v>11</v>
      </c>
      <c r="AX4" s="32" t="s">
        <v>12</v>
      </c>
      <c r="AY4" s="32" t="s">
        <v>13</v>
      </c>
      <c r="AZ4" s="30" t="s">
        <v>7</v>
      </c>
      <c r="BA4" s="30" t="s">
        <v>8</v>
      </c>
      <c r="BB4" s="30" t="s">
        <v>9</v>
      </c>
      <c r="BC4" s="30" t="s">
        <v>10</v>
      </c>
      <c r="BD4" s="30" t="s">
        <v>11</v>
      </c>
      <c r="BE4" s="30" t="s">
        <v>12</v>
      </c>
      <c r="BF4" s="30" t="s">
        <v>13</v>
      </c>
      <c r="BG4" s="31" t="s">
        <v>7</v>
      </c>
      <c r="BH4" s="31" t="s">
        <v>8</v>
      </c>
      <c r="BI4" s="31" t="s">
        <v>9</v>
      </c>
      <c r="BJ4" s="32" t="s">
        <v>10</v>
      </c>
      <c r="BK4" s="32" t="s">
        <v>11</v>
      </c>
      <c r="BL4" s="32" t="s">
        <v>12</v>
      </c>
      <c r="BM4" s="32" t="s">
        <v>13</v>
      </c>
      <c r="BN4" s="30" t="s">
        <v>7</v>
      </c>
      <c r="BO4" s="30" t="s">
        <v>8</v>
      </c>
      <c r="BP4" s="30" t="s">
        <v>9</v>
      </c>
      <c r="BQ4" s="30" t="s">
        <v>10</v>
      </c>
      <c r="BR4" s="30" t="s">
        <v>11</v>
      </c>
      <c r="BS4" s="30" t="s">
        <v>12</v>
      </c>
      <c r="BT4" s="30" t="s">
        <v>13</v>
      </c>
      <c r="BU4" s="31" t="s">
        <v>7</v>
      </c>
      <c r="BV4" s="31" t="s">
        <v>8</v>
      </c>
      <c r="BW4" s="31" t="s">
        <v>9</v>
      </c>
      <c r="BX4" s="32" t="s">
        <v>10</v>
      </c>
      <c r="BY4" s="32" t="s">
        <v>11</v>
      </c>
      <c r="BZ4" s="32" t="s">
        <v>12</v>
      </c>
      <c r="CA4" s="32" t="s">
        <v>13</v>
      </c>
      <c r="CB4" s="30" t="s">
        <v>7</v>
      </c>
      <c r="CC4" s="30" t="s">
        <v>8</v>
      </c>
      <c r="CD4" s="30" t="s">
        <v>9</v>
      </c>
      <c r="CE4" s="30" t="s">
        <v>10</v>
      </c>
      <c r="CF4" s="30" t="s">
        <v>11</v>
      </c>
      <c r="CG4" s="30" t="s">
        <v>12</v>
      </c>
      <c r="CH4" s="30" t="s">
        <v>13</v>
      </c>
      <c r="CI4" s="31" t="s">
        <v>7</v>
      </c>
      <c r="CJ4" s="31" t="s">
        <v>8</v>
      </c>
      <c r="CK4" s="31" t="s">
        <v>9</v>
      </c>
      <c r="CL4" s="32" t="s">
        <v>10</v>
      </c>
      <c r="CM4" s="32" t="s">
        <v>11</v>
      </c>
      <c r="CN4" s="32" t="s">
        <v>12</v>
      </c>
      <c r="CO4" s="32" t="s">
        <v>13</v>
      </c>
      <c r="CP4" s="30" t="s">
        <v>7</v>
      </c>
      <c r="CQ4" s="30" t="s">
        <v>8</v>
      </c>
      <c r="CR4" s="30" t="s">
        <v>9</v>
      </c>
      <c r="CS4" s="30" t="s">
        <v>10</v>
      </c>
      <c r="CT4" s="30" t="s">
        <v>11</v>
      </c>
      <c r="CU4" s="30" t="s">
        <v>12</v>
      </c>
      <c r="CV4" s="30" t="s">
        <v>13</v>
      </c>
      <c r="CW4" s="31" t="s">
        <v>7</v>
      </c>
      <c r="CX4" s="31" t="s">
        <v>8</v>
      </c>
      <c r="CY4" s="31" t="s">
        <v>9</v>
      </c>
      <c r="CZ4" s="32" t="s">
        <v>10</v>
      </c>
      <c r="DA4" s="32" t="s">
        <v>11</v>
      </c>
      <c r="DB4" s="32" t="s">
        <v>12</v>
      </c>
      <c r="DC4" s="32" t="s">
        <v>13</v>
      </c>
      <c r="DD4" s="30" t="s">
        <v>7</v>
      </c>
      <c r="DE4" s="30" t="s">
        <v>8</v>
      </c>
      <c r="DF4" s="30" t="s">
        <v>9</v>
      </c>
      <c r="DG4" s="30" t="s">
        <v>10</v>
      </c>
      <c r="DH4" s="30" t="s">
        <v>11</v>
      </c>
      <c r="DI4" s="30" t="s">
        <v>12</v>
      </c>
      <c r="DJ4" s="30" t="s">
        <v>13</v>
      </c>
      <c r="DK4" s="31" t="s">
        <v>7</v>
      </c>
      <c r="DL4" s="31" t="s">
        <v>8</v>
      </c>
      <c r="DM4" s="31" t="s">
        <v>9</v>
      </c>
      <c r="DN4" s="32" t="s">
        <v>10</v>
      </c>
      <c r="DO4" s="32" t="s">
        <v>11</v>
      </c>
      <c r="DP4" s="32" t="s">
        <v>12</v>
      </c>
      <c r="DQ4" s="32" t="s">
        <v>13</v>
      </c>
      <c r="DR4" s="30" t="s">
        <v>7</v>
      </c>
      <c r="DS4" s="30" t="s">
        <v>8</v>
      </c>
      <c r="DT4" s="30" t="s">
        <v>9</v>
      </c>
      <c r="DU4" s="30" t="s">
        <v>10</v>
      </c>
      <c r="DV4" s="30" t="s">
        <v>11</v>
      </c>
      <c r="DW4" s="30" t="s">
        <v>12</v>
      </c>
      <c r="DX4" s="30" t="s">
        <v>13</v>
      </c>
      <c r="DY4" s="31" t="s">
        <v>7</v>
      </c>
      <c r="DZ4" s="31" t="s">
        <v>8</v>
      </c>
      <c r="EA4" s="31" t="s">
        <v>9</v>
      </c>
      <c r="EB4" s="32" t="s">
        <v>10</v>
      </c>
      <c r="EC4" s="32" t="s">
        <v>11</v>
      </c>
      <c r="ED4" s="32" t="s">
        <v>12</v>
      </c>
      <c r="EE4" s="32" t="s">
        <v>13</v>
      </c>
      <c r="EF4" s="30" t="s">
        <v>7</v>
      </c>
      <c r="EG4" s="30" t="s">
        <v>8</v>
      </c>
      <c r="EH4" s="30" t="s">
        <v>9</v>
      </c>
      <c r="EI4" s="30" t="s">
        <v>10</v>
      </c>
      <c r="EJ4" s="30" t="s">
        <v>11</v>
      </c>
      <c r="EK4" s="30" t="s">
        <v>12</v>
      </c>
      <c r="EL4" s="30" t="s">
        <v>13</v>
      </c>
    </row>
    <row r="5" spans="1:142">
      <c r="A5" s="6">
        <v>45967</v>
      </c>
      <c r="B5" s="7" t="s">
        <v>17</v>
      </c>
      <c r="C5" s="8">
        <v>5</v>
      </c>
      <c r="D5" s="9">
        <v>0</v>
      </c>
      <c r="E5" s="10">
        <v>6.5</v>
      </c>
      <c r="F5" s="19">
        <f>IF($D$8=0,0,D5/$D$8)</f>
        <v>0</v>
      </c>
      <c r="G5" s="19">
        <f>C16</f>
        <v>0.27202072538860106</v>
      </c>
      <c r="H5" s="19">
        <f>F5-G5</f>
        <v>-0.27202072538860106</v>
      </c>
      <c r="I5" s="20">
        <f>G5*$D$8</f>
        <v>0</v>
      </c>
      <c r="J5" s="8">
        <v>20</v>
      </c>
      <c r="K5" s="9">
        <v>1</v>
      </c>
      <c r="L5" s="10">
        <v>21.9</v>
      </c>
      <c r="M5" s="19">
        <f>IF($K$8=0,0,J5/$K$8)</f>
        <v>0.51282051282051277</v>
      </c>
      <c r="N5" s="19">
        <f>C16</f>
        <v>0.27202072538860106</v>
      </c>
      <c r="O5" s="19">
        <f>M5-N5</f>
        <v>0.24079978743191172</v>
      </c>
      <c r="P5" s="20">
        <f>N5*$K$8</f>
        <v>10.608808290155441</v>
      </c>
      <c r="Q5" s="8">
        <v>22</v>
      </c>
      <c r="R5" s="9">
        <v>15</v>
      </c>
      <c r="S5" s="10">
        <v>37.200000000000003</v>
      </c>
      <c r="T5" s="19">
        <f>R5/$R$8</f>
        <v>0.38461538461538464</v>
      </c>
      <c r="U5" s="19">
        <f>C16</f>
        <v>0.27202072538860106</v>
      </c>
      <c r="V5" s="19">
        <f>T5-U5</f>
        <v>0.11259465922678358</v>
      </c>
      <c r="W5" s="20">
        <f>U5*$R$8</f>
        <v>10.608808290155441</v>
      </c>
      <c r="X5" s="8">
        <v>22</v>
      </c>
      <c r="Y5" s="9">
        <v>23</v>
      </c>
      <c r="Z5" s="10">
        <v>45.5</v>
      </c>
      <c r="AA5" s="19">
        <f>Y5/Y8</f>
        <v>0.39655172413793105</v>
      </c>
      <c r="AB5" s="19">
        <f>C16</f>
        <v>0.27202072538860106</v>
      </c>
      <c r="AC5" s="19">
        <f>AA5-AB5</f>
        <v>0.12453099874932999</v>
      </c>
      <c r="AD5" s="20">
        <f>AB5*Y8</f>
        <v>15.777202072538861</v>
      </c>
      <c r="AE5" s="8">
        <v>22</v>
      </c>
      <c r="AF5" s="9">
        <v>32</v>
      </c>
      <c r="AG5" s="10">
        <v>54.3</v>
      </c>
      <c r="AH5" s="19">
        <f>AF5/$AF$8</f>
        <v>0.69565217391304346</v>
      </c>
      <c r="AI5" s="19">
        <f>C16</f>
        <v>0.27202072538860106</v>
      </c>
      <c r="AJ5" s="19">
        <f>AH5-AI5</f>
        <v>0.4236314485244424</v>
      </c>
      <c r="AK5" s="20">
        <f>AI5*$AF$8</f>
        <v>12.512953367875649</v>
      </c>
      <c r="AL5" s="8">
        <v>54</v>
      </c>
      <c r="AM5" s="9">
        <v>21</v>
      </c>
      <c r="AN5" s="10">
        <v>75.3</v>
      </c>
      <c r="AO5" s="19">
        <f>AM5/$AM$8</f>
        <v>0.45652173913043476</v>
      </c>
      <c r="AP5" s="19">
        <f>C16</f>
        <v>0.27202072538860106</v>
      </c>
      <c r="AQ5" s="19">
        <f>AO5-AP5</f>
        <v>0.1845010137418337</v>
      </c>
      <c r="AR5" s="20">
        <f>AP5*$AM$8</f>
        <v>12.512953367875649</v>
      </c>
      <c r="AS5" s="8">
        <v>70</v>
      </c>
      <c r="AT5" s="9">
        <v>10</v>
      </c>
      <c r="AU5" s="10">
        <v>80.7</v>
      </c>
      <c r="AV5" s="19">
        <f>AT5/$AT$8</f>
        <v>0.30303030303030304</v>
      </c>
      <c r="AW5" s="19">
        <f>C16</f>
        <v>0.27202072538860106</v>
      </c>
      <c r="AX5" s="19">
        <f>AV5-AW5</f>
        <v>3.100957764170198E-2</v>
      </c>
      <c r="AY5" s="20">
        <f>AW5*$AT$8</f>
        <v>8.9766839378238341</v>
      </c>
      <c r="AZ5" s="8">
        <v>23</v>
      </c>
      <c r="BA5" s="9">
        <v>5</v>
      </c>
      <c r="BB5" s="10">
        <v>27.7</v>
      </c>
      <c r="BC5" s="19">
        <f>BA5/$BA$8</f>
        <v>0.38461538461538464</v>
      </c>
      <c r="BD5" s="19">
        <f>C16</f>
        <v>0.27202072538860106</v>
      </c>
      <c r="BE5" s="19">
        <f>BC5-BD5</f>
        <v>0.11259465922678358</v>
      </c>
      <c r="BF5" s="20">
        <f>BD5*$BA$8</f>
        <v>3.5362694300518136</v>
      </c>
      <c r="BG5" s="8">
        <v>31</v>
      </c>
      <c r="BH5" s="9">
        <v>56</v>
      </c>
      <c r="BI5" s="10">
        <v>86.9</v>
      </c>
      <c r="BJ5" s="19">
        <f>BH5/$BH$8</f>
        <v>0.875</v>
      </c>
      <c r="BK5" s="19">
        <f>C16</f>
        <v>0.27202072538860106</v>
      </c>
      <c r="BL5" s="19">
        <f>BJ5-BK5</f>
        <v>0.60297927461139889</v>
      </c>
      <c r="BM5" s="20">
        <f>BK5*$BH$8</f>
        <v>17.409326424870468</v>
      </c>
      <c r="BN5" s="8">
        <v>55</v>
      </c>
      <c r="BO5" s="9">
        <v>18</v>
      </c>
      <c r="BP5" s="10">
        <v>73.3</v>
      </c>
      <c r="BQ5" s="19">
        <f>BO5/$BO$8</f>
        <v>0.13333333333333333</v>
      </c>
      <c r="BR5" s="19">
        <f>C16</f>
        <v>0.27202072538860106</v>
      </c>
      <c r="BS5" s="19">
        <f>BQ5-BR5</f>
        <v>-0.13868739205526773</v>
      </c>
      <c r="BT5" s="20">
        <f>BR5*$BO$8</f>
        <v>36.722797927461144</v>
      </c>
      <c r="BU5" s="8">
        <v>71</v>
      </c>
      <c r="BV5" s="9">
        <v>25</v>
      </c>
      <c r="BW5" s="10">
        <v>96.4</v>
      </c>
      <c r="BX5" s="19">
        <f>BV5/$BV$8</f>
        <v>0.45454545454545453</v>
      </c>
      <c r="BY5" s="19">
        <f>C16</f>
        <v>0.27202072538860106</v>
      </c>
      <c r="BZ5" s="19">
        <f>BX5-BY5</f>
        <v>0.18252472915685347</v>
      </c>
      <c r="CA5" s="20">
        <f>BY5*$BV$8</f>
        <v>14.961139896373059</v>
      </c>
      <c r="CB5" s="8">
        <v>89</v>
      </c>
      <c r="CC5" s="9">
        <v>-24</v>
      </c>
      <c r="CD5" s="10">
        <v>64.8</v>
      </c>
      <c r="CE5" s="19">
        <f>CC5/$CC$8</f>
        <v>-1.1428571428571428</v>
      </c>
      <c r="CF5" s="19">
        <f>C16</f>
        <v>0.27202072538860106</v>
      </c>
      <c r="CG5" s="19">
        <f>CE5-CF5</f>
        <v>-1.4148778682457439</v>
      </c>
      <c r="CH5" s="20">
        <f>CF5*$CC$8</f>
        <v>5.7124352331606225</v>
      </c>
      <c r="CI5" s="8">
        <v>65</v>
      </c>
      <c r="CJ5" s="9">
        <v>26</v>
      </c>
      <c r="CK5" s="10">
        <v>91.2</v>
      </c>
      <c r="CL5" s="19">
        <f>CJ5/$CJ$8</f>
        <v>0.22608695652173913</v>
      </c>
      <c r="CM5" s="19">
        <f>C16</f>
        <v>0.27202072538860106</v>
      </c>
      <c r="CN5" s="19">
        <f>CL5-CM5</f>
        <v>-4.5933768866861929E-2</v>
      </c>
      <c r="CO5" s="20">
        <f>CM5*$CJ$8</f>
        <v>31.282383419689122</v>
      </c>
      <c r="CP5" s="8">
        <v>92</v>
      </c>
      <c r="CQ5" s="9">
        <v>-15</v>
      </c>
      <c r="CR5" s="10">
        <v>76.2</v>
      </c>
      <c r="CS5" s="19">
        <f>CQ5/$CQ$8</f>
        <v>-0.18518518518518517</v>
      </c>
      <c r="CT5" s="19">
        <f>C16</f>
        <v>0.27202072538860106</v>
      </c>
      <c r="CU5" s="19">
        <f>CS5-CT5</f>
        <v>-0.45720591057378623</v>
      </c>
      <c r="CV5" s="20">
        <f>CT5*$CQ$8</f>
        <v>22.033678756476686</v>
      </c>
      <c r="CW5" s="8">
        <v>76</v>
      </c>
      <c r="CX5" s="9">
        <v>-8</v>
      </c>
      <c r="CY5" s="10">
        <v>68.2</v>
      </c>
      <c r="CZ5" s="19">
        <f>CX5/$CX$8</f>
        <v>-0.27586206896551724</v>
      </c>
      <c r="DA5" s="19">
        <f>C16</f>
        <v>0.27202072538860106</v>
      </c>
      <c r="DB5" s="19">
        <f>CZ5-DA5</f>
        <v>-0.54788279435411824</v>
      </c>
      <c r="DC5" s="20">
        <f>DA5*$CX$8</f>
        <v>7.8886010362694305</v>
      </c>
      <c r="DD5" s="8">
        <v>68</v>
      </c>
      <c r="DE5" s="9">
        <v>-8</v>
      </c>
      <c r="DF5" s="10">
        <v>59.9</v>
      </c>
      <c r="DG5" s="19">
        <f>DE5/$DE$8</f>
        <v>-0.47058823529411764</v>
      </c>
      <c r="DH5" s="19">
        <f>C16</f>
        <v>0.27202072538860106</v>
      </c>
      <c r="DI5" s="19">
        <f>DG5-DH5</f>
        <v>-0.74260896068271864</v>
      </c>
      <c r="DJ5" s="20">
        <f>DH5*$DE$8</f>
        <v>4.6243523316062181</v>
      </c>
      <c r="DK5" s="8">
        <v>68</v>
      </c>
      <c r="DL5" s="9">
        <v>-15</v>
      </c>
      <c r="DM5" s="10">
        <v>53.6</v>
      </c>
      <c r="DN5" s="19">
        <f>DL5/$DL$8</f>
        <v>-0.5</v>
      </c>
      <c r="DO5" s="19">
        <f>C16</f>
        <v>0.27202072538860106</v>
      </c>
      <c r="DP5" s="19">
        <f>DN5-DO5</f>
        <v>-0.77202072538860111</v>
      </c>
      <c r="DQ5" s="20">
        <f>DO5*$DL$8</f>
        <v>8.1606217616580317</v>
      </c>
      <c r="DR5" s="8">
        <v>68</v>
      </c>
      <c r="DS5" s="9">
        <v>-10</v>
      </c>
      <c r="DT5" s="10">
        <v>58.5</v>
      </c>
      <c r="DU5" s="19">
        <f>DS5/$DS$8</f>
        <v>0.15873015873015872</v>
      </c>
      <c r="DV5" s="19">
        <f>C16</f>
        <v>0.27202072538860106</v>
      </c>
      <c r="DW5" s="19">
        <f>DU5-DV5</f>
        <v>-0.11329056665844234</v>
      </c>
      <c r="DX5" s="20">
        <f>DV5*$DS$8</f>
        <v>-17.137305699481868</v>
      </c>
      <c r="DY5" s="8">
        <v>47</v>
      </c>
      <c r="DZ5" s="9">
        <v>2</v>
      </c>
      <c r="EA5" s="10">
        <v>49.1</v>
      </c>
      <c r="EB5" s="19">
        <f>DZ5/$DZ$8</f>
        <v>0.1111111111111111</v>
      </c>
      <c r="EC5" s="19">
        <f>C16</f>
        <v>0.27202072538860106</v>
      </c>
      <c r="ED5" s="19">
        <f>EB5-EC5</f>
        <v>-0.16090961427748995</v>
      </c>
      <c r="EE5" s="20">
        <f>EC5*$DZ$8</f>
        <v>4.8963730569948192</v>
      </c>
      <c r="EF5" s="8">
        <v>14</v>
      </c>
      <c r="EG5" s="9">
        <v>4</v>
      </c>
      <c r="EH5" s="10">
        <v>17.8</v>
      </c>
      <c r="EI5" s="19">
        <f>EG5/$EG$8</f>
        <v>0.16</v>
      </c>
      <c r="EJ5" s="19">
        <f>C16</f>
        <v>0.27202072538860106</v>
      </c>
      <c r="EK5" s="19">
        <f>EI5-EJ5</f>
        <v>-0.11202072538860106</v>
      </c>
      <c r="EL5" s="20">
        <f>EJ5*$EG$8</f>
        <v>6.8005181347150261</v>
      </c>
    </row>
    <row r="6" spans="1:142">
      <c r="A6" s="6">
        <v>45967</v>
      </c>
      <c r="B6" s="12" t="s">
        <v>18</v>
      </c>
      <c r="C6" s="8">
        <v>6</v>
      </c>
      <c r="D6" s="9">
        <v>0</v>
      </c>
      <c r="E6" s="10">
        <v>6.5</v>
      </c>
      <c r="F6" s="19">
        <f t="shared" ref="F6:F7" si="0">IF($D$8=0,0,D6/$D$8)</f>
        <v>0</v>
      </c>
      <c r="G6" s="19">
        <f t="shared" ref="G6:G7" si="1">C17</f>
        <v>0.50777202072538863</v>
      </c>
      <c r="H6" s="19">
        <f t="shared" ref="H6:H7" si="2">F6-G6</f>
        <v>-0.50777202072538863</v>
      </c>
      <c r="I6" s="20">
        <f t="shared" ref="I6:I7" si="3">G6*$D$8</f>
        <v>0</v>
      </c>
      <c r="J6" s="8">
        <v>7</v>
      </c>
      <c r="K6" s="9">
        <v>19</v>
      </c>
      <c r="L6" s="10">
        <v>26</v>
      </c>
      <c r="M6" s="19">
        <f t="shared" ref="M6:M7" si="4">IF($K$8=0,0,J6/$K$8)</f>
        <v>0.17948717948717949</v>
      </c>
      <c r="N6" s="19">
        <f t="shared" ref="N6:N7" si="5">C17</f>
        <v>0.50777202072538863</v>
      </c>
      <c r="O6" s="19">
        <f t="shared" ref="O6:O7" si="6">M6-N6</f>
        <v>-0.32828484123820911</v>
      </c>
      <c r="P6" s="20">
        <f t="shared" ref="P6:P7" si="7">N6*$D$8</f>
        <v>0</v>
      </c>
      <c r="Q6" s="8">
        <v>25</v>
      </c>
      <c r="R6" s="9">
        <v>17</v>
      </c>
      <c r="S6" s="10">
        <v>41.6</v>
      </c>
      <c r="T6" s="19">
        <f t="shared" ref="T6:T7" si="8">R6/$R$8</f>
        <v>0.4358974358974359</v>
      </c>
      <c r="U6" s="19">
        <f t="shared" ref="U6:U7" si="9">C17</f>
        <v>0.50777202072538863</v>
      </c>
      <c r="V6" s="19">
        <f t="shared" ref="V6:V7" si="10">T6-U6</f>
        <v>-7.1874584827952726E-2</v>
      </c>
      <c r="W6" s="20">
        <f t="shared" ref="W6:W7" si="11">U6*$R$8</f>
        <v>19.803108808290155</v>
      </c>
      <c r="X6" s="8">
        <v>25</v>
      </c>
      <c r="Y6" s="9">
        <v>21</v>
      </c>
      <c r="Z6" s="10">
        <v>45.6</v>
      </c>
      <c r="AA6" s="19">
        <f t="shared" ref="AA6:AA7" si="12">Y6/$Y$8</f>
        <v>0.36206896551724138</v>
      </c>
      <c r="AB6" s="19">
        <f t="shared" ref="AB6:AB7" si="13">C17</f>
        <v>0.50777202072538863</v>
      </c>
      <c r="AC6" s="19">
        <f t="shared" ref="AC6:AC7" si="14">AA6-AB6</f>
        <v>-0.14570305520814725</v>
      </c>
      <c r="AD6" s="20">
        <f t="shared" ref="AD6:AD7" si="15">AB6*$Y$8</f>
        <v>29.45077720207254</v>
      </c>
      <c r="AE6" s="8">
        <v>43</v>
      </c>
      <c r="AF6" s="9">
        <v>8</v>
      </c>
      <c r="AG6" s="10">
        <v>51.2</v>
      </c>
      <c r="AH6" s="19">
        <f t="shared" ref="AH6:AH7" si="16">AF6/$AF$8</f>
        <v>0.17391304347826086</v>
      </c>
      <c r="AI6" s="19">
        <f t="shared" ref="AI6:AI7" si="17">C17</f>
        <v>0.50777202072538863</v>
      </c>
      <c r="AJ6" s="19">
        <f t="shared" ref="AJ6:AJ7" si="18">AH6-AI6</f>
        <v>-0.33385897724712776</v>
      </c>
      <c r="AK6" s="20">
        <f t="shared" ref="AK6:AK7" si="19">AI6*$AF$8</f>
        <v>23.357512953367877</v>
      </c>
      <c r="AL6" s="8">
        <v>50</v>
      </c>
      <c r="AM6" s="9">
        <v>11</v>
      </c>
      <c r="AN6" s="10">
        <v>60.9</v>
      </c>
      <c r="AO6" s="19">
        <f t="shared" ref="AO6:AO7" si="20">AM6/$AM$8</f>
        <v>0.2391304347826087</v>
      </c>
      <c r="AP6" s="19">
        <f t="shared" ref="AP6:AP7" si="21">C17</f>
        <v>0.50777202072538863</v>
      </c>
      <c r="AQ6" s="19">
        <f t="shared" ref="AQ6:AQ7" si="22">AO6-AP6</f>
        <v>-0.26864158594277993</v>
      </c>
      <c r="AR6" s="20">
        <f t="shared" ref="AR6:AR7" si="23">AP6*$AM$8</f>
        <v>23.357512953367877</v>
      </c>
      <c r="AS6" s="8">
        <v>51</v>
      </c>
      <c r="AT6" s="9">
        <v>15</v>
      </c>
      <c r="AU6" s="10">
        <v>65.8</v>
      </c>
      <c r="AV6" s="19">
        <f t="shared" ref="AV6:AV7" si="24">AT6/$AT$8</f>
        <v>0.45454545454545453</v>
      </c>
      <c r="AW6" s="19">
        <f t="shared" ref="AW6:AW7" si="25">C17</f>
        <v>0.50777202072538863</v>
      </c>
      <c r="AX6" s="19">
        <f t="shared" ref="AX6:AX7" si="26">AV6-AW6</f>
        <v>-5.3226566179934098E-2</v>
      </c>
      <c r="AY6" s="20">
        <f t="shared" ref="AY6:AY7" si="27">AW6*$AT$8</f>
        <v>16.756476683937827</v>
      </c>
      <c r="AZ6" s="8">
        <v>39</v>
      </c>
      <c r="BA6" s="9">
        <v>5</v>
      </c>
      <c r="BB6" s="10">
        <v>44</v>
      </c>
      <c r="BC6" s="19">
        <f t="shared" ref="BC6:BC7" si="28">BA6/$BA$8</f>
        <v>0.38461538461538464</v>
      </c>
      <c r="BD6" s="19">
        <f t="shared" ref="BD6:BD7" si="29">C17</f>
        <v>0.50777202072538863</v>
      </c>
      <c r="BE6" s="19">
        <f t="shared" ref="BE6:BE7" si="30">BC6-BD6</f>
        <v>-0.12315663611000399</v>
      </c>
      <c r="BF6" s="20">
        <f t="shared" ref="BF6:BF7" si="31">BD6*$BA$8</f>
        <v>6.6010362694300522</v>
      </c>
      <c r="BG6" s="8">
        <v>36</v>
      </c>
      <c r="BH6" s="9">
        <v>4</v>
      </c>
      <c r="BI6" s="10">
        <v>40.6</v>
      </c>
      <c r="BJ6" s="19">
        <f t="shared" ref="BJ6:BJ7" si="32">BH6/$BH$8</f>
        <v>6.25E-2</v>
      </c>
      <c r="BK6" s="19">
        <f t="shared" ref="BK6:BK7" si="33">C17</f>
        <v>0.50777202072538863</v>
      </c>
      <c r="BL6" s="19">
        <f t="shared" ref="BL6:BL7" si="34">BJ6-BK6</f>
        <v>-0.44527202072538863</v>
      </c>
      <c r="BM6" s="20">
        <f t="shared" ref="BM6:BM7" si="35">BK6*$BH$8</f>
        <v>32.497409326424872</v>
      </c>
      <c r="BN6" s="8">
        <v>41</v>
      </c>
      <c r="BO6" s="9">
        <v>86</v>
      </c>
      <c r="BP6" s="10">
        <v>126.6</v>
      </c>
      <c r="BQ6" s="19">
        <f t="shared" ref="BQ6:BQ7" si="36">BO6/$BO$8</f>
        <v>0.63703703703703707</v>
      </c>
      <c r="BR6" s="19">
        <f t="shared" ref="BR6:BR7" si="37">C17</f>
        <v>0.50777202072538863</v>
      </c>
      <c r="BS6" s="19">
        <f t="shared" ref="BS6:BS7" si="38">BQ6-BR6</f>
        <v>0.12926501631164844</v>
      </c>
      <c r="BT6" s="20">
        <f t="shared" ref="BT6:BT7" si="39">BR6*$BO$8</f>
        <v>68.54922279792747</v>
      </c>
      <c r="BU6" s="8">
        <v>67</v>
      </c>
      <c r="BV6" s="9">
        <v>4</v>
      </c>
      <c r="BW6" s="10">
        <v>70.7</v>
      </c>
      <c r="BX6" s="19">
        <f t="shared" ref="BX6:BX7" si="40">BV6/$BV$8</f>
        <v>7.2727272727272724E-2</v>
      </c>
      <c r="BY6" s="19">
        <f t="shared" ref="BY6:BY7" si="41">C17</f>
        <v>0.50777202072538863</v>
      </c>
      <c r="BZ6" s="19">
        <f t="shared" ref="BZ6:BZ7" si="42">BX6-BY6</f>
        <v>-0.43504474799811588</v>
      </c>
      <c r="CA6" s="20">
        <f t="shared" ref="CA6:CA7" si="43">BY6*$BV$8</f>
        <v>27.927461139896373</v>
      </c>
      <c r="CB6" s="8">
        <v>55</v>
      </c>
      <c r="CC6" s="9">
        <v>61</v>
      </c>
      <c r="CD6" s="10">
        <v>116</v>
      </c>
      <c r="CE6" s="19">
        <f t="shared" ref="CE6:CE7" si="44">CC6/$CC$8</f>
        <v>2.9047619047619047</v>
      </c>
      <c r="CF6" s="19">
        <f t="shared" ref="CF6:CF7" si="45">C17</f>
        <v>0.50777202072538863</v>
      </c>
      <c r="CG6" s="19">
        <f t="shared" ref="CG6:CG7" si="46">CE6-CF6</f>
        <v>2.396989884036516</v>
      </c>
      <c r="CH6" s="20">
        <f t="shared" ref="CH6:CH7" si="47">CF6*$CC$8</f>
        <v>10.663212435233161</v>
      </c>
      <c r="CI6" s="8">
        <v>48</v>
      </c>
      <c r="CJ6" s="9">
        <v>68</v>
      </c>
      <c r="CK6" s="10">
        <v>116</v>
      </c>
      <c r="CL6" s="19">
        <f t="shared" ref="CL6:CL7" si="48">CJ6/$CJ$8</f>
        <v>0.59130434782608698</v>
      </c>
      <c r="CM6" s="19">
        <f t="shared" ref="CM6:CM7" si="49">C17</f>
        <v>0.50777202072538863</v>
      </c>
      <c r="CN6" s="19">
        <f t="shared" ref="CN6:CN7" si="50">CL6-CM6</f>
        <v>8.3532327100698356E-2</v>
      </c>
      <c r="CO6" s="20">
        <f t="shared" ref="CO6:CO7" si="51">CM6*$CJ$8</f>
        <v>58.393782383419691</v>
      </c>
      <c r="CP6" s="8">
        <v>8</v>
      </c>
      <c r="CQ6" s="9">
        <v>108</v>
      </c>
      <c r="CR6" s="10">
        <v>116</v>
      </c>
      <c r="CS6" s="19">
        <f t="shared" ref="CS6:CS7" si="52">CQ6/$CQ$8</f>
        <v>1.3333333333333333</v>
      </c>
      <c r="CT6" s="19">
        <f t="shared" ref="CT6:CT7" si="53">C17</f>
        <v>0.50777202072538863</v>
      </c>
      <c r="CU6" s="19">
        <f t="shared" ref="CU6:CU7" si="54">CS6-CT6</f>
        <v>0.82556131260794463</v>
      </c>
      <c r="CV6" s="20">
        <f t="shared" ref="CV6:CV7" si="55">CT6*$CQ$8</f>
        <v>41.129533678756481</v>
      </c>
      <c r="CW6" s="8">
        <v>72</v>
      </c>
      <c r="CX6" s="9">
        <v>44</v>
      </c>
      <c r="CY6" s="10">
        <v>116</v>
      </c>
      <c r="CZ6" s="19">
        <f t="shared" ref="CZ6:CZ7" si="56">CX6/$CX$8</f>
        <v>1.5172413793103448</v>
      </c>
      <c r="DA6" s="19">
        <f t="shared" ref="DA6:DA7" si="57">C17</f>
        <v>0.50777202072538863</v>
      </c>
      <c r="DB6" s="19">
        <f t="shared" ref="DB6:DB7" si="58">CZ6-DA6</f>
        <v>1.0094693585849561</v>
      </c>
      <c r="DC6" s="20">
        <f t="shared" ref="DC6:DC7" si="59">DA6*$CX$8</f>
        <v>14.72538860103627</v>
      </c>
      <c r="DD6" s="8">
        <v>84</v>
      </c>
      <c r="DE6" s="9">
        <v>32</v>
      </c>
      <c r="DF6" s="10">
        <v>115.2</v>
      </c>
      <c r="DG6" s="19">
        <f t="shared" ref="DG6:DG7" si="60">DE6/$DE$8</f>
        <v>1.8823529411764706</v>
      </c>
      <c r="DH6" s="19">
        <f t="shared" ref="DH6:DH7" si="61">C17</f>
        <v>0.50777202072538863</v>
      </c>
      <c r="DI6" s="19">
        <f t="shared" ref="DI6:DI7" si="62">DG6-DH6</f>
        <v>1.3745809204510819</v>
      </c>
      <c r="DJ6" s="20">
        <f t="shared" ref="DJ6:DJ7" si="63">DH6*$DE$8</f>
        <v>8.6321243523316067</v>
      </c>
      <c r="DK6" s="8">
        <v>49</v>
      </c>
      <c r="DL6" s="9">
        <v>50</v>
      </c>
      <c r="DM6" s="10">
        <v>98.8</v>
      </c>
      <c r="DN6" s="19">
        <f t="shared" ref="DN6:DN7" si="64">DL6/$DL$8</f>
        <v>1.6666666666666667</v>
      </c>
      <c r="DO6" s="19">
        <f t="shared" ref="DO6:DO7" si="65">C17</f>
        <v>0.50777202072538863</v>
      </c>
      <c r="DP6" s="19">
        <f t="shared" ref="DP6:DP7" si="66">DN6-DO6</f>
        <v>1.1588946459412781</v>
      </c>
      <c r="DQ6" s="20">
        <f t="shared" ref="DQ6:DQ7" si="67">DO6*$DL$8</f>
        <v>15.233160621761659</v>
      </c>
      <c r="DR6" s="8">
        <v>153</v>
      </c>
      <c r="DS6" s="9">
        <v>-57</v>
      </c>
      <c r="DT6" s="10">
        <v>95.4</v>
      </c>
      <c r="DU6" s="19">
        <f t="shared" ref="DU6:DU7" si="68">DS6/$DS$8</f>
        <v>0.90476190476190477</v>
      </c>
      <c r="DV6" s="19">
        <f t="shared" ref="DV6:DV7" si="69">C17</f>
        <v>0.50777202072538863</v>
      </c>
      <c r="DW6" s="19">
        <f t="shared" ref="DW6:DW7" si="70">DU6-DV6</f>
        <v>0.39698988403651614</v>
      </c>
      <c r="DX6" s="20">
        <f t="shared" ref="DX6:DX7" si="71">DV6*$DS$8</f>
        <v>-31.989637305699482</v>
      </c>
      <c r="DY6" s="8">
        <v>66</v>
      </c>
      <c r="DZ6" s="9">
        <v>24</v>
      </c>
      <c r="EA6" s="10">
        <v>90.6</v>
      </c>
      <c r="EB6" s="19">
        <f t="shared" ref="EB6:EB7" si="72">DZ6/$DZ$8</f>
        <v>1.3333333333333333</v>
      </c>
      <c r="EC6" s="19">
        <f t="shared" ref="EC6:EC7" si="73">C17</f>
        <v>0.50777202072538863</v>
      </c>
      <c r="ED6" s="19">
        <f t="shared" ref="ED6:ED7" si="74">EB6-EC6</f>
        <v>0.82556131260794463</v>
      </c>
      <c r="EE6" s="20">
        <f t="shared" ref="EE6:EE7" si="75">EC6*$DZ$8</f>
        <v>9.1398963730569953</v>
      </c>
      <c r="EF6" s="8">
        <v>40</v>
      </c>
      <c r="EG6" s="9">
        <v>18</v>
      </c>
      <c r="EH6" s="10">
        <v>58.2</v>
      </c>
      <c r="EI6" s="19">
        <f t="shared" ref="EI6:EI7" si="76">EG6/$EG$8</f>
        <v>0.72</v>
      </c>
      <c r="EJ6" s="19">
        <f t="shared" ref="EJ6:EJ7" si="77">C17</f>
        <v>0.50777202072538863</v>
      </c>
      <c r="EK6" s="19">
        <f t="shared" ref="EK6:EK7" si="78">EI6-EJ6</f>
        <v>0.21222797927461134</v>
      </c>
      <c r="EL6" s="20">
        <f t="shared" ref="EL6:EL7" si="79">EJ6*$EG$8</f>
        <v>12.694300518134716</v>
      </c>
    </row>
    <row r="7" spans="1:142">
      <c r="A7" s="6">
        <v>45967</v>
      </c>
      <c r="B7" s="7" t="s">
        <v>19</v>
      </c>
      <c r="C7" s="8">
        <v>3</v>
      </c>
      <c r="D7" s="9">
        <v>0</v>
      </c>
      <c r="E7" s="10">
        <v>3.4</v>
      </c>
      <c r="F7" s="19">
        <f t="shared" si="0"/>
        <v>0</v>
      </c>
      <c r="G7" s="19">
        <f t="shared" si="1"/>
        <v>0.22020725388601037</v>
      </c>
      <c r="H7" s="19">
        <f t="shared" si="2"/>
        <v>-0.22020725388601037</v>
      </c>
      <c r="I7" s="20">
        <f t="shared" si="3"/>
        <v>0</v>
      </c>
      <c r="J7" s="8">
        <v>3</v>
      </c>
      <c r="K7" s="9">
        <v>19</v>
      </c>
      <c r="L7" s="10">
        <v>22.3</v>
      </c>
      <c r="M7" s="19">
        <f t="shared" si="4"/>
        <v>7.6923076923076927E-2</v>
      </c>
      <c r="N7" s="19">
        <f t="shared" si="5"/>
        <v>0.22020725388601037</v>
      </c>
      <c r="O7" s="19">
        <f t="shared" si="6"/>
        <v>-0.14328417696293344</v>
      </c>
      <c r="P7" s="20">
        <f t="shared" si="7"/>
        <v>0</v>
      </c>
      <c r="Q7" s="8">
        <v>22</v>
      </c>
      <c r="R7" s="9">
        <v>7</v>
      </c>
      <c r="S7" s="10">
        <v>29.2</v>
      </c>
      <c r="T7" s="19">
        <f t="shared" si="8"/>
        <v>0.17948717948717949</v>
      </c>
      <c r="U7" s="19">
        <f t="shared" si="9"/>
        <v>0.22020725388601037</v>
      </c>
      <c r="V7" s="19">
        <f t="shared" si="10"/>
        <v>-4.072007439883088E-2</v>
      </c>
      <c r="W7" s="20">
        <f t="shared" si="11"/>
        <v>8.5880829015544045</v>
      </c>
      <c r="X7" s="8">
        <v>22</v>
      </c>
      <c r="Y7" s="9">
        <v>14</v>
      </c>
      <c r="Z7" s="10">
        <v>35.799999999999997</v>
      </c>
      <c r="AA7" s="19">
        <f t="shared" si="12"/>
        <v>0.2413793103448276</v>
      </c>
      <c r="AB7" s="19">
        <f t="shared" si="13"/>
        <v>0.22020725388601037</v>
      </c>
      <c r="AC7" s="19">
        <f t="shared" si="14"/>
        <v>2.1172056458817229E-2</v>
      </c>
      <c r="AD7" s="20">
        <f t="shared" si="15"/>
        <v>12.772020725388602</v>
      </c>
      <c r="AE7" s="8">
        <v>36</v>
      </c>
      <c r="AF7" s="9">
        <v>6</v>
      </c>
      <c r="AG7" s="10">
        <v>42.5</v>
      </c>
      <c r="AH7" s="19">
        <f t="shared" si="16"/>
        <v>0.13043478260869565</v>
      </c>
      <c r="AI7" s="19">
        <f t="shared" si="17"/>
        <v>0.22020725388601037</v>
      </c>
      <c r="AJ7" s="19">
        <f t="shared" si="18"/>
        <v>-8.9772471277314719E-2</v>
      </c>
      <c r="AK7" s="20">
        <f t="shared" si="19"/>
        <v>10.129533678756477</v>
      </c>
      <c r="AL7" s="8">
        <v>43</v>
      </c>
      <c r="AM7" s="9">
        <v>14</v>
      </c>
      <c r="AN7" s="10">
        <v>56.8</v>
      </c>
      <c r="AO7" s="19">
        <f t="shared" si="20"/>
        <v>0.30434782608695654</v>
      </c>
      <c r="AP7" s="19">
        <f t="shared" si="21"/>
        <v>0.22020725388601037</v>
      </c>
      <c r="AQ7" s="19">
        <f t="shared" si="22"/>
        <v>8.4140572200946173E-2</v>
      </c>
      <c r="AR7" s="20">
        <f t="shared" si="23"/>
        <v>10.129533678756477</v>
      </c>
      <c r="AS7" s="8">
        <v>56</v>
      </c>
      <c r="AT7" s="9">
        <v>8</v>
      </c>
      <c r="AU7" s="10">
        <v>64.400000000000006</v>
      </c>
      <c r="AV7" s="19">
        <f t="shared" si="24"/>
        <v>0.24242424242424243</v>
      </c>
      <c r="AW7" s="19">
        <f t="shared" si="25"/>
        <v>0.22020725388601037</v>
      </c>
      <c r="AX7" s="19">
        <f t="shared" si="26"/>
        <v>2.2216988538232063E-2</v>
      </c>
      <c r="AY7" s="20">
        <f t="shared" si="27"/>
        <v>7.266839378238342</v>
      </c>
      <c r="AZ7" s="8">
        <v>15</v>
      </c>
      <c r="BA7" s="9">
        <v>3</v>
      </c>
      <c r="BB7" s="10">
        <v>18.3</v>
      </c>
      <c r="BC7" s="19">
        <f t="shared" si="28"/>
        <v>0.23076923076923078</v>
      </c>
      <c r="BD7" s="19">
        <f t="shared" si="29"/>
        <v>0.22020725388601037</v>
      </c>
      <c r="BE7" s="19">
        <f t="shared" si="30"/>
        <v>1.0561976883220414E-2</v>
      </c>
      <c r="BF7" s="20">
        <f t="shared" si="31"/>
        <v>2.8626943005181347</v>
      </c>
      <c r="BG7" s="8">
        <v>15</v>
      </c>
      <c r="BH7" s="9">
        <v>4</v>
      </c>
      <c r="BI7" s="10">
        <v>18.899999999999999</v>
      </c>
      <c r="BJ7" s="19">
        <f t="shared" si="32"/>
        <v>6.25E-2</v>
      </c>
      <c r="BK7" s="19">
        <f t="shared" si="33"/>
        <v>0.22020725388601037</v>
      </c>
      <c r="BL7" s="19">
        <f t="shared" si="34"/>
        <v>-0.15770725388601037</v>
      </c>
      <c r="BM7" s="20">
        <f t="shared" si="35"/>
        <v>14.093264248704664</v>
      </c>
      <c r="BN7" s="8">
        <v>19</v>
      </c>
      <c r="BO7" s="9">
        <v>31</v>
      </c>
      <c r="BP7" s="10">
        <v>50</v>
      </c>
      <c r="BQ7" s="19">
        <f t="shared" si="36"/>
        <v>0.22962962962962963</v>
      </c>
      <c r="BR7" s="19">
        <f t="shared" si="37"/>
        <v>0.22020725388601037</v>
      </c>
      <c r="BS7" s="19">
        <f t="shared" si="38"/>
        <v>9.4223757436192601E-3</v>
      </c>
      <c r="BT7" s="20">
        <f t="shared" si="39"/>
        <v>29.7279792746114</v>
      </c>
      <c r="BU7" s="8">
        <v>50</v>
      </c>
      <c r="BV7" s="9">
        <v>26</v>
      </c>
      <c r="BW7" s="10">
        <v>75.8</v>
      </c>
      <c r="BX7" s="19">
        <f t="shared" si="40"/>
        <v>0.47272727272727272</v>
      </c>
      <c r="BY7" s="19">
        <f t="shared" si="41"/>
        <v>0.22020725388601037</v>
      </c>
      <c r="BZ7" s="19">
        <f t="shared" si="42"/>
        <v>0.25252001884126235</v>
      </c>
      <c r="CA7" s="20">
        <f t="shared" si="43"/>
        <v>12.11139896373057</v>
      </c>
      <c r="CB7" s="8">
        <v>67</v>
      </c>
      <c r="CC7" s="9">
        <v>-16</v>
      </c>
      <c r="CD7" s="10">
        <v>50.9</v>
      </c>
      <c r="CE7" s="19">
        <f t="shared" si="44"/>
        <v>-0.76190476190476186</v>
      </c>
      <c r="CF7" s="19">
        <f t="shared" si="45"/>
        <v>0.22020725388601037</v>
      </c>
      <c r="CG7" s="19">
        <f t="shared" si="46"/>
        <v>-0.98211201579077223</v>
      </c>
      <c r="CH7" s="20">
        <f t="shared" si="47"/>
        <v>4.6243523316062181</v>
      </c>
      <c r="CI7" s="8">
        <v>51</v>
      </c>
      <c r="CJ7" s="9">
        <v>21</v>
      </c>
      <c r="CK7" s="10">
        <v>71.8</v>
      </c>
      <c r="CL7" s="19">
        <f t="shared" si="48"/>
        <v>0.18260869565217391</v>
      </c>
      <c r="CM7" s="19">
        <f t="shared" si="49"/>
        <v>0.22020725388601037</v>
      </c>
      <c r="CN7" s="19">
        <f t="shared" si="50"/>
        <v>-3.7598558233836454E-2</v>
      </c>
      <c r="CO7" s="20">
        <f t="shared" si="51"/>
        <v>25.323834196891191</v>
      </c>
      <c r="CP7" s="8">
        <v>72</v>
      </c>
      <c r="CQ7" s="9">
        <v>-12</v>
      </c>
      <c r="CR7" s="10">
        <v>59.9</v>
      </c>
      <c r="CS7" s="19">
        <f t="shared" si="52"/>
        <v>-0.14814814814814814</v>
      </c>
      <c r="CT7" s="19">
        <f t="shared" si="53"/>
        <v>0.22020725388601037</v>
      </c>
      <c r="CU7" s="19">
        <f t="shared" si="54"/>
        <v>-0.36835540203415851</v>
      </c>
      <c r="CV7" s="20">
        <f t="shared" si="55"/>
        <v>17.836787564766841</v>
      </c>
      <c r="CW7" s="8">
        <v>60</v>
      </c>
      <c r="CX7" s="9">
        <v>-7</v>
      </c>
      <c r="CY7" s="10">
        <v>53.6</v>
      </c>
      <c r="CZ7" s="19">
        <f t="shared" si="56"/>
        <v>-0.2413793103448276</v>
      </c>
      <c r="DA7" s="19">
        <f t="shared" si="57"/>
        <v>0.22020725388601037</v>
      </c>
      <c r="DB7" s="19">
        <f t="shared" si="58"/>
        <v>-0.46158656423083799</v>
      </c>
      <c r="DC7" s="20">
        <f t="shared" si="59"/>
        <v>6.386010362694301</v>
      </c>
      <c r="DD7" s="8">
        <v>54</v>
      </c>
      <c r="DE7" s="9">
        <v>-7</v>
      </c>
      <c r="DF7" s="10">
        <v>47.1</v>
      </c>
      <c r="DG7" s="19">
        <f t="shared" si="60"/>
        <v>-0.41176470588235292</v>
      </c>
      <c r="DH7" s="19">
        <f t="shared" si="61"/>
        <v>0.22020725388601037</v>
      </c>
      <c r="DI7" s="19">
        <f t="shared" si="62"/>
        <v>-0.63197195976836329</v>
      </c>
      <c r="DJ7" s="20">
        <f t="shared" si="63"/>
        <v>3.7435233160621761</v>
      </c>
      <c r="DK7" s="8">
        <v>47</v>
      </c>
      <c r="DL7" s="9">
        <v>-5</v>
      </c>
      <c r="DM7" s="10">
        <v>42.2</v>
      </c>
      <c r="DN7" s="19">
        <f t="shared" si="64"/>
        <v>-0.16666666666666666</v>
      </c>
      <c r="DO7" s="19">
        <f t="shared" si="65"/>
        <v>0.22020725388601037</v>
      </c>
      <c r="DP7" s="19">
        <f t="shared" si="66"/>
        <v>-0.386873920552677</v>
      </c>
      <c r="DQ7" s="20">
        <f t="shared" si="67"/>
        <v>6.6062176165803113</v>
      </c>
      <c r="DR7" s="8">
        <v>42</v>
      </c>
      <c r="DS7" s="9">
        <v>4</v>
      </c>
      <c r="DT7" s="10">
        <v>46</v>
      </c>
      <c r="DU7" s="19">
        <f t="shared" si="68"/>
        <v>-6.3492063492063489E-2</v>
      </c>
      <c r="DV7" s="19">
        <f t="shared" si="69"/>
        <v>0.22020725388601037</v>
      </c>
      <c r="DW7" s="19">
        <f t="shared" si="70"/>
        <v>-0.28369931737807386</v>
      </c>
      <c r="DX7" s="20">
        <f t="shared" si="71"/>
        <v>-13.873056994818652</v>
      </c>
      <c r="DY7" s="8">
        <v>46</v>
      </c>
      <c r="DZ7" s="9">
        <v>-8</v>
      </c>
      <c r="EA7" s="10">
        <v>38.6</v>
      </c>
      <c r="EB7" s="19">
        <f t="shared" si="72"/>
        <v>-0.44444444444444442</v>
      </c>
      <c r="EC7" s="19">
        <f t="shared" si="73"/>
        <v>0.22020725388601037</v>
      </c>
      <c r="ED7" s="19">
        <f t="shared" si="74"/>
        <v>-0.66465169833045479</v>
      </c>
      <c r="EE7" s="20">
        <f t="shared" si="75"/>
        <v>3.9637305699481864</v>
      </c>
      <c r="EF7" s="8">
        <v>12</v>
      </c>
      <c r="EG7" s="9">
        <v>3</v>
      </c>
      <c r="EH7" s="10">
        <v>14.6</v>
      </c>
      <c r="EI7" s="19">
        <f t="shared" si="76"/>
        <v>0.12</v>
      </c>
      <c r="EJ7" s="19">
        <f t="shared" si="77"/>
        <v>0.22020725388601037</v>
      </c>
      <c r="EK7" s="19">
        <f t="shared" si="78"/>
        <v>-0.10020725388601037</v>
      </c>
      <c r="EL7" s="20">
        <f t="shared" si="79"/>
        <v>5.5051813471502591</v>
      </c>
    </row>
    <row r="8" spans="1:142">
      <c r="D8" s="33">
        <f>SUM(D5:D7)</f>
        <v>0</v>
      </c>
      <c r="I8" s="35">
        <f>SUM(I5:I7)</f>
        <v>0</v>
      </c>
      <c r="K8" s="33">
        <f t="shared" ref="K8" si="80">SUM(K5:K7)</f>
        <v>39</v>
      </c>
      <c r="P8" s="35">
        <f t="shared" ref="P8" si="81">SUM(P5:P7)</f>
        <v>10.608808290155441</v>
      </c>
      <c r="R8" s="33">
        <f t="shared" ref="R8" si="82">SUM(R5:R7)</f>
        <v>39</v>
      </c>
      <c r="W8" s="35">
        <f t="shared" ref="W8" si="83">SUM(W5:W7)</f>
        <v>39</v>
      </c>
      <c r="Y8" s="33">
        <f t="shared" ref="Y8" si="84">SUM(Y5:Y7)</f>
        <v>58</v>
      </c>
      <c r="AD8" s="35">
        <f t="shared" ref="AD8" si="85">SUM(AD5:AD7)</f>
        <v>58</v>
      </c>
      <c r="AF8" s="33">
        <f t="shared" ref="AF8" si="86">SUM(AF5:AF7)</f>
        <v>46</v>
      </c>
      <c r="AK8" s="35">
        <f t="shared" ref="AK8" si="87">SUM(AK5:AK7)</f>
        <v>46</v>
      </c>
      <c r="AM8" s="33">
        <f t="shared" ref="AM8" si="88">SUM(AM5:AM7)</f>
        <v>46</v>
      </c>
      <c r="AR8" s="35">
        <f t="shared" ref="AR8" si="89">SUM(AR5:AR7)</f>
        <v>46</v>
      </c>
      <c r="AT8" s="33">
        <f t="shared" ref="AT8" si="90">SUM(AT5:AT7)</f>
        <v>33</v>
      </c>
      <c r="AY8" s="35">
        <f t="shared" ref="AY8" si="91">SUM(AY5:AY7)</f>
        <v>33.000000000000007</v>
      </c>
      <c r="BA8" s="33">
        <f t="shared" ref="BA8" si="92">SUM(BA5:BA7)</f>
        <v>13</v>
      </c>
      <c r="BF8" s="35">
        <f t="shared" ref="BF8" si="93">SUM(BF5:BF7)</f>
        <v>13</v>
      </c>
      <c r="BH8" s="33">
        <f t="shared" ref="BH8" si="94">SUM(BH5:BH7)</f>
        <v>64</v>
      </c>
      <c r="BM8" s="35">
        <f t="shared" ref="BM8" si="95">SUM(BM5:BM7)</f>
        <v>64</v>
      </c>
      <c r="BO8" s="33">
        <f t="shared" ref="BO8" si="96">SUM(BO5:BO7)</f>
        <v>135</v>
      </c>
      <c r="BT8" s="35">
        <f t="shared" ref="BT8" si="97">SUM(BT5:BT7)</f>
        <v>135</v>
      </c>
      <c r="BV8" s="33">
        <f t="shared" ref="BV8" si="98">SUM(BV5:BV7)</f>
        <v>55</v>
      </c>
      <c r="CA8" s="35">
        <f t="shared" ref="CA8" si="99">SUM(CA5:CA7)</f>
        <v>55.000000000000007</v>
      </c>
      <c r="CC8" s="33">
        <f t="shared" ref="CC8" si="100">SUM(CC5:CC7)</f>
        <v>21</v>
      </c>
      <c r="CH8" s="35">
        <f t="shared" ref="CH8" si="101">SUM(CH5:CH7)</f>
        <v>21</v>
      </c>
      <c r="CJ8" s="33">
        <f t="shared" ref="CJ8" si="102">SUM(CJ5:CJ7)</f>
        <v>115</v>
      </c>
      <c r="CO8" s="35">
        <f t="shared" ref="CO8" si="103">SUM(CO5:CO7)</f>
        <v>115</v>
      </c>
      <c r="CQ8" s="33">
        <f t="shared" ref="CQ8" si="104">SUM(CQ5:CQ7)</f>
        <v>81</v>
      </c>
      <c r="CV8" s="35">
        <f t="shared" ref="CV8" si="105">SUM(CV5:CV7)</f>
        <v>81</v>
      </c>
      <c r="CX8" s="33">
        <f t="shared" ref="CX8" si="106">SUM(CX5:CX7)</f>
        <v>29</v>
      </c>
      <c r="DC8" s="35">
        <f t="shared" ref="DC8" si="107">SUM(DC5:DC7)</f>
        <v>29</v>
      </c>
      <c r="DE8" s="33">
        <f t="shared" ref="DE8" si="108">SUM(DE5:DE7)</f>
        <v>17</v>
      </c>
      <c r="DJ8" s="35">
        <f t="shared" ref="DJ8" si="109">SUM(DJ5:DJ7)</f>
        <v>17</v>
      </c>
      <c r="DL8" s="33">
        <f t="shared" ref="DL8" si="110">SUM(DL5:DL7)</f>
        <v>30</v>
      </c>
      <c r="DQ8" s="35">
        <f t="shared" ref="DQ8" si="111">SUM(DQ5:DQ7)</f>
        <v>30</v>
      </c>
      <c r="DS8" s="33">
        <f t="shared" ref="DS8" si="112">SUM(DS5:DS7)</f>
        <v>-63</v>
      </c>
      <c r="DX8" s="35">
        <f t="shared" ref="DX8" si="113">SUM(DX5:DX7)</f>
        <v>-63</v>
      </c>
      <c r="DZ8" s="33">
        <f t="shared" ref="DZ8" si="114">SUM(DZ5:DZ7)</f>
        <v>18</v>
      </c>
      <c r="EE8" s="35">
        <f t="shared" ref="EE8" si="115">SUM(EE5:EE7)</f>
        <v>18</v>
      </c>
      <c r="EG8" s="33">
        <f t="shared" ref="EG8" si="116">SUM(EG5:EG7)</f>
        <v>25</v>
      </c>
      <c r="EL8" s="35">
        <f t="shared" ref="EL8" si="117">SUM(EL5:EL7)</f>
        <v>25</v>
      </c>
    </row>
    <row r="10" spans="1:142">
      <c r="A10" s="50" t="s">
        <v>20</v>
      </c>
      <c r="B10" s="50"/>
      <c r="I10" s="38">
        <f>I5-D5</f>
        <v>0</v>
      </c>
      <c r="P10" s="38">
        <f t="shared" ref="P10" si="118">P5-K5</f>
        <v>9.6088082901554408</v>
      </c>
      <c r="W10" s="38">
        <f t="shared" ref="W10" si="119">W5-R5</f>
        <v>-4.3911917098445592</v>
      </c>
      <c r="AD10" s="38">
        <f t="shared" ref="AD10" si="120">AD5-Y5</f>
        <v>-7.2227979274611389</v>
      </c>
      <c r="AK10" s="38">
        <f t="shared" ref="AK10" si="121">AK5-AF5</f>
        <v>-19.487046632124351</v>
      </c>
      <c r="AR10" s="38">
        <f t="shared" ref="AR10" si="122">AR5-AM5</f>
        <v>-8.4870466321243505</v>
      </c>
      <c r="AY10" s="38">
        <f t="shared" ref="AY10" si="123">AY5-AT5</f>
        <v>-1.0233160621761659</v>
      </c>
      <c r="BF10" s="38">
        <f t="shared" ref="BF10" si="124">BF5-BA5</f>
        <v>-1.4637305699481864</v>
      </c>
      <c r="BM10" s="38">
        <f t="shared" ref="BM10" si="125">BM5-BH5</f>
        <v>-38.590673575129529</v>
      </c>
      <c r="BT10" s="38">
        <f t="shared" ref="BT10" si="126">BT5-BO5</f>
        <v>18.722797927461144</v>
      </c>
      <c r="CA10" s="38">
        <f t="shared" ref="CA10" si="127">CA5-BV5</f>
        <v>-10.038860103626941</v>
      </c>
      <c r="CH10" s="38">
        <f t="shared" ref="CH10" si="128">CH5-CC5</f>
        <v>29.712435233160623</v>
      </c>
      <c r="CO10" s="38">
        <f t="shared" ref="CO10" si="129">CO5-CJ5</f>
        <v>5.282383419689122</v>
      </c>
      <c r="CV10" s="38">
        <f t="shared" ref="CV10" si="130">CV5-CQ5</f>
        <v>37.033678756476689</v>
      </c>
      <c r="DC10" s="38">
        <f t="shared" ref="DC10" si="131">DC5-CX5</f>
        <v>15.888601036269431</v>
      </c>
      <c r="DJ10" s="38">
        <f t="shared" ref="DJ10" si="132">DJ5-DE5</f>
        <v>12.624352331606218</v>
      </c>
      <c r="DQ10" s="38">
        <f t="shared" ref="DQ10" si="133">DQ5-DL5</f>
        <v>23.160621761658032</v>
      </c>
      <c r="DX10" s="38">
        <f t="shared" ref="DX10" si="134">DX5-DS5</f>
        <v>-7.1373056994818675</v>
      </c>
      <c r="EE10" s="38">
        <f t="shared" ref="EE10" si="135">EE5-DZ5</f>
        <v>2.8963730569948192</v>
      </c>
      <c r="EL10" s="38">
        <f t="shared" ref="EL10" si="136">EL5-EG5</f>
        <v>2.8005181347150261</v>
      </c>
    </row>
    <row r="11" spans="1:142">
      <c r="A11" s="50" t="s">
        <v>21</v>
      </c>
      <c r="B11" s="50"/>
      <c r="F11" s="49"/>
      <c r="I11" s="39">
        <f>J3-C3</f>
        <v>1.5972222222222221E-2</v>
      </c>
      <c r="P11" s="39">
        <f t="shared" ref="P11" si="137">Q3-J3</f>
        <v>1.3194444444444398E-2</v>
      </c>
      <c r="W11" s="39">
        <f t="shared" ref="W11" si="138">X3-Q3</f>
        <v>3.4722222222222654E-3</v>
      </c>
      <c r="AD11" s="39">
        <f t="shared" ref="AD11" si="139">AE3-X3</f>
        <v>4.8611111111110938E-3</v>
      </c>
      <c r="AK11" s="39">
        <f t="shared" ref="AK11" si="140">AL3-AE3</f>
        <v>5.5555555555555358E-3</v>
      </c>
      <c r="AR11" s="39">
        <f t="shared" ref="AR11" si="141">AS3-AL3</f>
        <v>4.8611111111111494E-3</v>
      </c>
      <c r="AY11" s="39">
        <f t="shared" ref="AY11" si="142">AZ3-AS3</f>
        <v>2.2222222222222199E-2</v>
      </c>
      <c r="BF11" s="39">
        <f t="shared" ref="BF11" si="143">BG3-AZ3</f>
        <v>2.0833333333333259E-3</v>
      </c>
      <c r="BM11" s="39">
        <f t="shared" ref="BM11" si="144">BN3-BG3</f>
        <v>0.10416666666666669</v>
      </c>
      <c r="BT11" s="39">
        <f t="shared" ref="BT11" si="145">BU3-BN3</f>
        <v>4.2361111111111127E-2</v>
      </c>
      <c r="CA11" s="39">
        <f t="shared" ref="CA11" si="146">CB3-BU3</f>
        <v>1.1111111111111072E-2</v>
      </c>
      <c r="CH11" s="39">
        <f t="shared" ref="CH11" si="147">CI3-CB3</f>
        <v>2.6388888888888906E-2</v>
      </c>
      <c r="CO11" s="39">
        <f t="shared" ref="CO11" si="148">CP3-CI3</f>
        <v>4.8611111111110938E-3</v>
      </c>
      <c r="CV11" s="39">
        <f t="shared" ref="CV11" si="149">CW3-CP3</f>
        <v>1.5277777777777835E-2</v>
      </c>
      <c r="DC11" s="39">
        <f t="shared" ref="DC11" si="150">DD3-CW3</f>
        <v>6.2499999999999778E-3</v>
      </c>
      <c r="DJ11" s="39">
        <f t="shared" ref="DJ11" si="151">DK3-DD3</f>
        <v>2.8472222222222232E-2</v>
      </c>
      <c r="DQ11" s="39">
        <f t="shared" ref="DQ11" si="152">DR3-DK3</f>
        <v>1.8055555555555491E-2</v>
      </c>
      <c r="DX11" s="39">
        <f t="shared" ref="DX11" si="153">DY3-DR3</f>
        <v>1.5277777777777835E-2</v>
      </c>
      <c r="EE11" s="39">
        <f t="shared" ref="EE11" si="154">EF3-DY3</f>
        <v>9.4444444444444442E-2</v>
      </c>
      <c r="EL11" s="39">
        <v>0</v>
      </c>
    </row>
    <row r="12" spans="1:142">
      <c r="A12" s="36" t="s">
        <v>1</v>
      </c>
      <c r="B12" s="36">
        <f>SUM(C12:EL12)</f>
        <v>-1.7003184369602749E-2</v>
      </c>
      <c r="I12" s="40">
        <f>(I10*I11)/60</f>
        <v>0</v>
      </c>
      <c r="P12" s="40">
        <f t="shared" ref="P12" si="155">(P10*P11)/60</f>
        <v>2.1130481193628787E-3</v>
      </c>
      <c r="W12" s="40">
        <f t="shared" ref="W12" si="156">(W10*W11)/60</f>
        <v>-2.5411989061600778E-4</v>
      </c>
      <c r="AD12" s="40">
        <f t="shared" ref="AD12" si="157">(AD10*AD11)/60</f>
        <v>-5.8518038764152546E-4</v>
      </c>
      <c r="AK12" s="40">
        <f t="shared" ref="AK12" si="158">(AK10*AK11)/60</f>
        <v>-1.8043561696411373E-3</v>
      </c>
      <c r="AR12" s="40">
        <f t="shared" ref="AR12" si="159">(AR10*AR11)/60</f>
        <v>-6.8760794473230239E-4</v>
      </c>
      <c r="AY12" s="40">
        <f t="shared" ref="AY12" si="160">(AY10*AY11)/60</f>
        <v>-3.7900594895413507E-4</v>
      </c>
      <c r="BF12" s="40">
        <f t="shared" ref="BF12" si="161">(BF10*BF11)/60</f>
        <v>-5.0823978123200739E-5</v>
      </c>
      <c r="BM12" s="40">
        <f t="shared" ref="BM12" si="162">(BM10*BM11)/60</f>
        <v>-6.699769717904433E-2</v>
      </c>
      <c r="BT12" s="40">
        <f t="shared" ref="BT12" si="163">(BT10*BT11)/60</f>
        <v>1.3218642055267711E-2</v>
      </c>
      <c r="CA12" s="40">
        <f t="shared" ref="CA12" si="164">(CA10*CA11)/60</f>
        <v>-1.8590481673383158E-3</v>
      </c>
      <c r="CH12" s="40">
        <f t="shared" ref="CH12" si="165">(CH10*CH11)/60</f>
        <v>1.3067969199769726E-2</v>
      </c>
      <c r="CO12" s="40">
        <f t="shared" ref="CO12" si="166">(CO10*CO11)/60</f>
        <v>4.2797087890999677E-4</v>
      </c>
      <c r="CV12" s="40">
        <f t="shared" ref="CV12" si="167">(CV10*CV11)/60</f>
        <v>9.429871905584376E-3</v>
      </c>
      <c r="DC12" s="40">
        <f t="shared" ref="DC12" si="168">(DC10*DC11)/60</f>
        <v>1.6550626079447266E-3</v>
      </c>
      <c r="DJ12" s="40">
        <f t="shared" ref="DJ12" si="169">(DJ10*DJ11)/60</f>
        <v>5.9907227499520262E-3</v>
      </c>
      <c r="DQ12" s="40">
        <f t="shared" ref="DQ12" si="170">(DQ10*DQ11)/60</f>
        <v>6.9696315486470675E-3</v>
      </c>
      <c r="DX12" s="40">
        <f t="shared" ref="DX12" si="171">(DX10*DX11)/60</f>
        <v>-1.8173695068125194E-3</v>
      </c>
      <c r="EE12" s="40">
        <f t="shared" ref="EE12" si="172">(EE10*EE11)/60</f>
        <v>4.5591057378622148E-3</v>
      </c>
      <c r="EL12" s="40">
        <f t="shared" ref="EL12" si="173">(EL10*EL11)/60</f>
        <v>0</v>
      </c>
    </row>
    <row r="13" spans="1:142">
      <c r="A13" t="s">
        <v>2</v>
      </c>
      <c r="B13" s="37">
        <v>80</v>
      </c>
    </row>
    <row r="14" spans="1:142">
      <c r="A14" t="s">
        <v>3</v>
      </c>
      <c r="B14" s="37">
        <f>B12*B13</f>
        <v>-1.3602547495682198</v>
      </c>
    </row>
    <row r="15" spans="1:142" ht="30">
      <c r="A15" s="22" t="s">
        <v>46</v>
      </c>
      <c r="B15" s="23" t="s">
        <v>23</v>
      </c>
      <c r="C15" s="22" t="s">
        <v>24</v>
      </c>
    </row>
    <row r="16" spans="1:142">
      <c r="A16" s="24">
        <v>105</v>
      </c>
      <c r="B16" s="25" t="s">
        <v>17</v>
      </c>
      <c r="C16" s="26">
        <f>A16/$A$19</f>
        <v>0.27202072538860106</v>
      </c>
    </row>
    <row r="17" spans="1:3">
      <c r="A17" s="24">
        <v>196</v>
      </c>
      <c r="B17" s="25" t="s">
        <v>18</v>
      </c>
      <c r="C17" s="26">
        <f t="shared" ref="C17:C18" si="174">A17/$A$19</f>
        <v>0.50777202072538863</v>
      </c>
    </row>
    <row r="18" spans="1:3">
      <c r="A18" s="24">
        <v>85</v>
      </c>
      <c r="B18" s="25" t="s">
        <v>19</v>
      </c>
      <c r="C18" s="26">
        <f t="shared" si="174"/>
        <v>0.22020725388601037</v>
      </c>
    </row>
    <row r="19" spans="1:3">
      <c r="A19" s="27">
        <f>SUM(A16:A18)</f>
        <v>386</v>
      </c>
      <c r="B19" s="28"/>
      <c r="C19" s="29"/>
    </row>
    <row r="28" spans="1:3">
      <c r="B28" s="49"/>
    </row>
    <row r="108" spans="5:29"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5:29"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spans="5:29"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spans="5:29"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4" spans="3:29">
      <c r="C114" s="17">
        <v>0.30555555555555558</v>
      </c>
      <c r="D114" s="17">
        <v>0.3215277777777778</v>
      </c>
      <c r="E114" s="17">
        <v>0.3347222222222222</v>
      </c>
      <c r="F114" s="17">
        <v>0.33819444444444446</v>
      </c>
      <c r="G114" s="17">
        <v>0.34305555555555556</v>
      </c>
      <c r="H114" s="17">
        <v>0.34861111111111109</v>
      </c>
      <c r="I114" s="17">
        <v>0.35347222222222224</v>
      </c>
      <c r="J114" s="17">
        <v>0.37569444444444444</v>
      </c>
      <c r="K114" s="17">
        <v>0.37777777777777777</v>
      </c>
      <c r="L114" s="17">
        <v>0.48194444444444445</v>
      </c>
      <c r="M114" s="17">
        <v>0.52430555555555558</v>
      </c>
      <c r="N114" s="17">
        <v>0.53541666666666665</v>
      </c>
      <c r="O114" s="17">
        <v>0.56180555555555556</v>
      </c>
      <c r="P114" s="17">
        <v>0.56666666666666665</v>
      </c>
      <c r="Q114" s="17">
        <v>0.56874999999999998</v>
      </c>
      <c r="R114" s="17">
        <v>0.58819444444444446</v>
      </c>
      <c r="S114" s="17">
        <v>0.6166666666666667</v>
      </c>
      <c r="T114" s="17">
        <v>0.63472222222222219</v>
      </c>
      <c r="U114" s="17">
        <v>0.65</v>
      </c>
      <c r="V114" s="17">
        <v>0.74444444444444446</v>
      </c>
      <c r="W114" s="17"/>
      <c r="X114" s="17"/>
      <c r="Y114" s="17"/>
      <c r="Z114" s="17"/>
      <c r="AA114" s="17"/>
      <c r="AB114" s="17"/>
      <c r="AC114" s="17"/>
    </row>
    <row r="115" spans="3:29">
      <c r="C115" s="33">
        <f>E5</f>
        <v>6.5</v>
      </c>
      <c r="D115" s="33">
        <f>L5</f>
        <v>21.9</v>
      </c>
      <c r="E115" s="33">
        <f>S5</f>
        <v>37.200000000000003</v>
      </c>
      <c r="F115" s="33">
        <f>Z5</f>
        <v>45.5</v>
      </c>
      <c r="G115" s="33">
        <f>AG5</f>
        <v>54.3</v>
      </c>
      <c r="H115" s="33">
        <f>AN5</f>
        <v>75.3</v>
      </c>
      <c r="I115" s="33">
        <f>AU5</f>
        <v>80.7</v>
      </c>
      <c r="J115" s="33">
        <f>BB5</f>
        <v>27.7</v>
      </c>
      <c r="K115" s="33">
        <f>BI5</f>
        <v>86.9</v>
      </c>
      <c r="L115" s="33">
        <f>BP5</f>
        <v>73.3</v>
      </c>
      <c r="M115" s="33">
        <f>BW5</f>
        <v>96.4</v>
      </c>
      <c r="N115" s="33">
        <f>CD5</f>
        <v>64.8</v>
      </c>
      <c r="O115" s="33">
        <f>CK5</f>
        <v>91.2</v>
      </c>
      <c r="P115" s="33">
        <f>CR5</f>
        <v>76.2</v>
      </c>
      <c r="Q115" s="33">
        <f>CY5</f>
        <v>68.2</v>
      </c>
      <c r="R115" s="33">
        <f>DF5</f>
        <v>59.9</v>
      </c>
      <c r="S115" s="33">
        <f>DM5</f>
        <v>53.6</v>
      </c>
      <c r="T115" s="33">
        <f>DT5</f>
        <v>58.5</v>
      </c>
      <c r="U115" s="33">
        <f>EA5</f>
        <v>49.1</v>
      </c>
      <c r="V115" s="33">
        <f>EH5</f>
        <v>17.8</v>
      </c>
      <c r="W115" s="33"/>
      <c r="X115" s="33"/>
      <c r="Y115" s="33"/>
      <c r="Z115" s="33"/>
      <c r="AA115" s="33"/>
      <c r="AB115" s="33"/>
      <c r="AC115" s="33"/>
    </row>
    <row r="116" spans="3:29">
      <c r="C116" s="33">
        <f>E6</f>
        <v>6.5</v>
      </c>
      <c r="D116" s="33">
        <f>L6</f>
        <v>26</v>
      </c>
      <c r="E116" s="33">
        <f>S6</f>
        <v>41.6</v>
      </c>
      <c r="F116" s="33">
        <f>Z6</f>
        <v>45.6</v>
      </c>
      <c r="G116" s="33">
        <f>AG6</f>
        <v>51.2</v>
      </c>
      <c r="H116" s="33">
        <f>AN6</f>
        <v>60.9</v>
      </c>
      <c r="I116" s="33">
        <f>AU6</f>
        <v>65.8</v>
      </c>
      <c r="J116" s="33">
        <f>BB6</f>
        <v>44</v>
      </c>
      <c r="K116" s="33">
        <f>BI6</f>
        <v>40.6</v>
      </c>
      <c r="L116" s="33">
        <f>BP6</f>
        <v>126.6</v>
      </c>
      <c r="M116" s="33">
        <f>BW6</f>
        <v>70.7</v>
      </c>
      <c r="N116" s="33">
        <f>CD6</f>
        <v>116</v>
      </c>
      <c r="O116" s="33">
        <f>CK6</f>
        <v>116</v>
      </c>
      <c r="P116" s="33">
        <f>CR6</f>
        <v>116</v>
      </c>
      <c r="Q116" s="33">
        <f>CY6</f>
        <v>116</v>
      </c>
      <c r="R116" s="33">
        <f>DF6</f>
        <v>115.2</v>
      </c>
      <c r="S116" s="33">
        <f>DM6</f>
        <v>98.8</v>
      </c>
      <c r="T116" s="33">
        <f>DT6</f>
        <v>95.4</v>
      </c>
      <c r="U116" s="33">
        <f>EA6</f>
        <v>90.6</v>
      </c>
      <c r="V116" s="33">
        <f>EH6</f>
        <v>58.2</v>
      </c>
      <c r="W116" s="33"/>
      <c r="X116" s="33"/>
      <c r="Y116" s="33"/>
      <c r="Z116" s="33"/>
      <c r="AA116" s="33"/>
      <c r="AB116" s="33"/>
      <c r="AC116" s="33"/>
    </row>
    <row r="117" spans="3:29">
      <c r="C117" s="33">
        <f>E7</f>
        <v>3.4</v>
      </c>
      <c r="D117" s="33">
        <f>L7</f>
        <v>22.3</v>
      </c>
      <c r="E117" s="33">
        <f>S7</f>
        <v>29.2</v>
      </c>
      <c r="F117" s="33">
        <f>Z7</f>
        <v>35.799999999999997</v>
      </c>
      <c r="G117" s="33">
        <f>AG7</f>
        <v>42.5</v>
      </c>
      <c r="H117" s="33">
        <f>AN7</f>
        <v>56.8</v>
      </c>
      <c r="I117" s="33">
        <f>AU7</f>
        <v>64.400000000000006</v>
      </c>
      <c r="J117" s="33">
        <f>BB7</f>
        <v>18.3</v>
      </c>
      <c r="K117" s="33">
        <f>BI7</f>
        <v>18.899999999999999</v>
      </c>
      <c r="L117" s="33">
        <f>BP7</f>
        <v>50</v>
      </c>
      <c r="M117" s="33">
        <f>BW7</f>
        <v>75.8</v>
      </c>
      <c r="N117" s="33">
        <f>CD7</f>
        <v>50.9</v>
      </c>
      <c r="O117" s="33">
        <f>CK7</f>
        <v>71.8</v>
      </c>
      <c r="P117" s="33">
        <f>CR7</f>
        <v>59.9</v>
      </c>
      <c r="Q117" s="33">
        <f>CY7</f>
        <v>53.6</v>
      </c>
      <c r="R117" s="33">
        <f>DF7</f>
        <v>47.1</v>
      </c>
      <c r="S117" s="33">
        <f>DM7</f>
        <v>42.2</v>
      </c>
      <c r="T117" s="33">
        <f>DT7</f>
        <v>46</v>
      </c>
      <c r="U117" s="33">
        <f>EA7</f>
        <v>38.6</v>
      </c>
      <c r="V117" s="33">
        <f>EH7</f>
        <v>14.6</v>
      </c>
      <c r="W117" s="33"/>
      <c r="X117" s="33"/>
      <c r="Y117" s="33"/>
      <c r="Z117" s="33"/>
      <c r="AA117" s="33"/>
      <c r="AB117" s="33"/>
      <c r="AC117" s="33"/>
    </row>
  </sheetData>
  <mergeCells count="24">
    <mergeCell ref="A11:B11"/>
    <mergeCell ref="A10:B10"/>
    <mergeCell ref="DK3:DQ3"/>
    <mergeCell ref="DR3:DX3"/>
    <mergeCell ref="DY3:EE3"/>
    <mergeCell ref="AE3:AK3"/>
    <mergeCell ref="AL3:AR3"/>
    <mergeCell ref="AS3:AY3"/>
    <mergeCell ref="AZ3:BF3"/>
    <mergeCell ref="BG3:BM3"/>
    <mergeCell ref="BN3:BT3"/>
    <mergeCell ref="A3:A4"/>
    <mergeCell ref="B3:B4"/>
    <mergeCell ref="C3:I3"/>
    <mergeCell ref="J3:P3"/>
    <mergeCell ref="Q3:W3"/>
    <mergeCell ref="X3:AD3"/>
    <mergeCell ref="EF3:EL3"/>
    <mergeCell ref="BU3:CA3"/>
    <mergeCell ref="CB3:CH3"/>
    <mergeCell ref="CI3:CO3"/>
    <mergeCell ref="CP3:CV3"/>
    <mergeCell ref="CW3:DC3"/>
    <mergeCell ref="DD3:DJ3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a4b99-fd6c-4eca-b0da-780005307310">
      <Terms xmlns="http://schemas.microsoft.com/office/infopath/2007/PartnerControls"/>
    </lcf76f155ced4ddcb4097134ff3c332f>
    <TaxCatchAll xmlns="603fadde-f139-424c-82f5-a861297d06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6F277540471843A30BE2551424A40C" ma:contentTypeVersion="18" ma:contentTypeDescription="Crear nuevo documento." ma:contentTypeScope="" ma:versionID="d0d70eb6b61600eb10fe3ed2c9c4cea3">
  <xsd:schema xmlns:xsd="http://www.w3.org/2001/XMLSchema" xmlns:xs="http://www.w3.org/2001/XMLSchema" xmlns:p="http://schemas.microsoft.com/office/2006/metadata/properties" xmlns:ns2="7baa4b99-fd6c-4eca-b0da-780005307310" xmlns:ns3="603fadde-f139-424c-82f5-a861297d0655" targetNamespace="http://schemas.microsoft.com/office/2006/metadata/properties" ma:root="true" ma:fieldsID="2715e1d964e1731ead819c38d8aa392a" ns2:_="" ns3:_="">
    <xsd:import namespace="7baa4b99-fd6c-4eca-b0da-780005307310"/>
    <xsd:import namespace="603fadde-f139-424c-82f5-a861297d06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a4b99-fd6c-4eca-b0da-7800053073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fadde-f139-424c-82f5-a861297d065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24993b-b25c-4953-a942-85bc5b518636}" ma:internalName="TaxCatchAll" ma:showField="CatchAllData" ma:web="603fadde-f139-424c-82f5-a861297d06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8AF644-E3E3-4D35-A2C8-ECFF18D2B155}"/>
</file>

<file path=customXml/itemProps2.xml><?xml version="1.0" encoding="utf-8"?>
<ds:datastoreItem xmlns:ds="http://schemas.openxmlformats.org/officeDocument/2006/customXml" ds:itemID="{EF6BF49C-E235-40A4-BB35-6197BCC04777}"/>
</file>

<file path=customXml/itemProps3.xml><?xml version="1.0" encoding="utf-8"?>
<ds:datastoreItem xmlns:ds="http://schemas.openxmlformats.org/officeDocument/2006/customXml" ds:itemID="{84D80C46-5562-4EA0-9665-A7F573A43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2025-11-06T18:45:01Z</dcterms:created>
  <dcterms:modified xsi:type="dcterms:W3CDTF">2025-11-07T17:04:12Z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0x0101009C6F277540471843A30BE2551424A40C</vt:lpwstr>
  </property>
  <property fmtid="{D5CDD505-2E9C-101B-9397-08002B2CF9AE}" pid="3" name="MediaServiceImageTags">
    <vt:lpwstr/>
  </property>
</Properties>
</file>