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11_01" sheetId="1" state="visible" r:id="rId1"/>
    <sheet name="2025_11_02" sheetId="2" state="visible" r:id="rId2"/>
    <sheet name="2025_11_03" sheetId="3" state="visible" r:id="rId3"/>
    <sheet name="2025_11_04" sheetId="4" state="visible" r:id="rId4"/>
    <sheet name="2025_11_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color rgb="00FFFFFF"/>
      <sz val="11"/>
    </font>
    <font>
      <sz val="9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305496"/>
        <bgColor rgb="0030549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" fontId="0" fillId="7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Consignas por Hora por Generadora</a:t>
            </a:r>
          </a:p>
        </rich>
      </tx>
    </title>
    <plotArea>
      <lineChart>
        <grouping val="standard"/>
        <ser>
          <idx val="0"/>
          <order val="0"/>
          <tx>
            <v>PFV-ELPELICANO</v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'2025_11_01'!$C$114:$W$114</f>
            </numRef>
          </cat>
          <val>
            <numRef>
              <f>'2025_11_01'!$C$115:$W$115</f>
            </numRef>
          </val>
        </ser>
        <ser>
          <idx val="1"/>
          <order val="1"/>
          <tx>
            <v>PFV-ELROMERO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'2025_11_01'!$C$114:$W$114</f>
            </numRef>
          </cat>
          <val>
            <numRef>
              <f>'2025_11_01'!$C$116:$W$116</f>
            </numRef>
          </val>
        </ser>
        <ser>
          <idx val="2"/>
          <order val="2"/>
          <tx>
            <v>PFV-LAHUELLA</v>
          </tx>
          <spPr>
            <a:ln w="25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'2025_11_01'!$C$114:$W$114</f>
            </numRef>
          </cat>
          <val>
            <numRef>
              <f>'2025_11_01'!$C$117:$W$117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Consigna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Consignas por Hora por Generadora</a:t>
            </a:r>
          </a:p>
        </rich>
      </tx>
    </title>
    <plotArea>
      <lineChart>
        <grouping val="standard"/>
        <ser>
          <idx val="0"/>
          <order val="0"/>
          <tx>
            <v>PFV-ELPELICANO</v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'2025_11_02'!$C$114:$X$114</f>
            </numRef>
          </cat>
          <val>
            <numRef>
              <f>'2025_11_02'!$C$115:$X$115</f>
            </numRef>
          </val>
        </ser>
        <ser>
          <idx val="1"/>
          <order val="1"/>
          <tx>
            <v>PFV-ELROMERO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'2025_11_02'!$C$114:$X$114</f>
            </numRef>
          </cat>
          <val>
            <numRef>
              <f>'2025_11_02'!$C$116:$X$116</f>
            </numRef>
          </val>
        </ser>
        <ser>
          <idx val="2"/>
          <order val="2"/>
          <tx>
            <v>PFV-LAHUELLA</v>
          </tx>
          <spPr>
            <a:ln w="25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'2025_11_02'!$C$114:$X$114</f>
            </numRef>
          </cat>
          <val>
            <numRef>
              <f>'2025_11_02'!$C$117:$X$117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Consigna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Consignas por Hora por Generadora</a:t>
            </a:r>
          </a:p>
        </rich>
      </tx>
    </title>
    <plotArea>
      <lineChart>
        <grouping val="standard"/>
        <ser>
          <idx val="0"/>
          <order val="0"/>
          <tx>
            <v>PFV-ELPELICANO</v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'2025_11_03'!$C$114:$AA$114</f>
            </numRef>
          </cat>
          <val>
            <numRef>
              <f>'2025_11_03'!$C$115:$AA$115</f>
            </numRef>
          </val>
        </ser>
        <ser>
          <idx val="1"/>
          <order val="1"/>
          <tx>
            <v>PFV-ELROMERO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'2025_11_03'!$C$114:$AA$114</f>
            </numRef>
          </cat>
          <val>
            <numRef>
              <f>'2025_11_03'!$C$116:$AA$116</f>
            </numRef>
          </val>
        </ser>
        <ser>
          <idx val="2"/>
          <order val="2"/>
          <tx>
            <v>PFV-LAHUELLA</v>
          </tx>
          <spPr>
            <a:ln w="25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'2025_11_03'!$C$114:$AA$114</f>
            </numRef>
          </cat>
          <val>
            <numRef>
              <f>'2025_11_03'!$C$117:$AA$117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Consigna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Consignas por Hora por Generadora</a:t>
            </a:r>
          </a:p>
        </rich>
      </tx>
    </title>
    <plotArea>
      <lineChart>
        <grouping val="standard"/>
        <ser>
          <idx val="0"/>
          <order val="0"/>
          <tx>
            <v>PFV-ELPELICANO</v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'2025_11_04'!$C$114:$Y$114</f>
            </numRef>
          </cat>
          <val>
            <numRef>
              <f>'2025_11_04'!$C$115:$Y$115</f>
            </numRef>
          </val>
        </ser>
        <ser>
          <idx val="1"/>
          <order val="1"/>
          <tx>
            <v>PFV-ELROMERO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'2025_11_04'!$C$114:$Y$114</f>
            </numRef>
          </cat>
          <val>
            <numRef>
              <f>'2025_11_04'!$C$116:$Y$116</f>
            </numRef>
          </val>
        </ser>
        <ser>
          <idx val="2"/>
          <order val="2"/>
          <tx>
            <v>PFV-LAHUELLA</v>
          </tx>
          <spPr>
            <a:ln w="25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'2025_11_04'!$C$114:$Y$114</f>
            </numRef>
          </cat>
          <val>
            <numRef>
              <f>'2025_11_04'!$C$117:$Y$117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Consigna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Consignas por Hora por Generadora</a:t>
            </a:r>
          </a:p>
        </rich>
      </tx>
    </title>
    <plotArea>
      <lineChart>
        <grouping val="standard"/>
        <ser>
          <idx val="0"/>
          <order val="0"/>
          <tx>
            <v>PFV-ELPELICANO</v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'2025_11_05'!$C$114:$AC$114</f>
            </numRef>
          </cat>
          <val>
            <numRef>
              <f>'2025_11_05'!$C$115:$AC$115</f>
            </numRef>
          </val>
        </ser>
        <ser>
          <idx val="1"/>
          <order val="1"/>
          <tx>
            <v>PFV-ELROMERO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'2025_11_05'!$C$114:$AC$114</f>
            </numRef>
          </cat>
          <val>
            <numRef>
              <f>'2025_11_05'!$C$116:$AC$116</f>
            </numRef>
          </val>
        </ser>
        <ser>
          <idx val="2"/>
          <order val="2"/>
          <tx>
            <v>PFV-LAHUELLA</v>
          </tx>
          <spPr>
            <a:ln w="25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'2025_11_05'!$C$114:$AC$114</f>
            </numRef>
          </cat>
          <val>
            <numRef>
              <f>'2025_11_05'!$C$117:$AC$117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Consigna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image" Target="/xl/media/image3.png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image" Target="/xl/media/image4.png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2286000" cy="514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2286000" cy="514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2286000" cy="514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2286000" cy="514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2286000" cy="514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 ht="2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</row>
    <row r="2" ht="27" customHeight="1">
      <c r="A2" s="2" t="n"/>
    </row>
    <row r="3">
      <c r="A3" s="3" t="inlineStr">
        <is>
          <t>FECHA</t>
        </is>
      </c>
      <c r="B3" s="4" t="inlineStr">
        <is>
          <t>GENERADORA</t>
        </is>
      </c>
      <c r="C3" s="4" t="inlineStr">
        <is>
          <t>HORA 07:26:00</t>
        </is>
      </c>
      <c r="D3" s="5" t="n"/>
      <c r="E3" s="6" t="n"/>
      <c r="F3" s="4" t="inlineStr">
        <is>
          <t>HORA 07:39:00</t>
        </is>
      </c>
      <c r="G3" s="5" t="n"/>
      <c r="H3" s="6" t="n"/>
      <c r="I3" s="4" t="inlineStr">
        <is>
          <t>HORA 07:44:00</t>
        </is>
      </c>
      <c r="J3" s="5" t="n"/>
      <c r="K3" s="6" t="n"/>
      <c r="L3" s="4" t="inlineStr">
        <is>
          <t>HORA 07:49:00</t>
        </is>
      </c>
      <c r="M3" s="5" t="n"/>
      <c r="N3" s="6" t="n"/>
      <c r="O3" s="4" t="inlineStr">
        <is>
          <t>HORA 07:52:00</t>
        </is>
      </c>
      <c r="P3" s="5" t="n"/>
      <c r="Q3" s="6" t="n"/>
      <c r="R3" s="4" t="inlineStr">
        <is>
          <t>HORA 08:16:00</t>
        </is>
      </c>
      <c r="S3" s="5" t="n"/>
      <c r="T3" s="6" t="n"/>
      <c r="U3" s="4" t="inlineStr">
        <is>
          <t>HORA 08:21:00</t>
        </is>
      </c>
      <c r="V3" s="5" t="n"/>
      <c r="W3" s="6" t="n"/>
      <c r="X3" s="4" t="inlineStr">
        <is>
          <t>HORA 08:28:00</t>
        </is>
      </c>
      <c r="Y3" s="5" t="n"/>
      <c r="Z3" s="6" t="n"/>
      <c r="AA3" s="4" t="inlineStr">
        <is>
          <t>HORA 10:03:00</t>
        </is>
      </c>
      <c r="AB3" s="5" t="n"/>
      <c r="AC3" s="6" t="n"/>
      <c r="AD3" s="4" t="inlineStr">
        <is>
          <t>HORA 10:32:00</t>
        </is>
      </c>
      <c r="AE3" s="5" t="n"/>
      <c r="AF3" s="6" t="n"/>
      <c r="AG3" s="4" t="inlineStr">
        <is>
          <t>HORA 11:57:00</t>
        </is>
      </c>
      <c r="AH3" s="5" t="n"/>
      <c r="AI3" s="6" t="n"/>
      <c r="AJ3" s="4" t="inlineStr">
        <is>
          <t>HORA 12:13:00</t>
        </is>
      </c>
      <c r="AK3" s="5" t="n"/>
      <c r="AL3" s="6" t="n"/>
      <c r="AM3" s="4" t="inlineStr">
        <is>
          <t>HORA 12:31:00</t>
        </is>
      </c>
      <c r="AN3" s="5" t="n"/>
      <c r="AO3" s="6" t="n"/>
      <c r="AP3" s="4" t="inlineStr">
        <is>
          <t>HORA 13:32:00</t>
        </is>
      </c>
      <c r="AQ3" s="5" t="n"/>
      <c r="AR3" s="6" t="n"/>
      <c r="AS3" s="4" t="inlineStr">
        <is>
          <t>HORA 15:12:00</t>
        </is>
      </c>
      <c r="AT3" s="5" t="n"/>
      <c r="AU3" s="6" t="n"/>
      <c r="AV3" s="4" t="inlineStr">
        <is>
          <t>HORA 16:52:00</t>
        </is>
      </c>
      <c r="AW3" s="5" t="n"/>
      <c r="AX3" s="6" t="n"/>
      <c r="AY3" s="4" t="inlineStr">
        <is>
          <t>HORA 17:01:00</t>
        </is>
      </c>
      <c r="AZ3" s="5" t="n"/>
      <c r="BA3" s="6" t="n"/>
      <c r="BB3" s="4" t="inlineStr">
        <is>
          <t>HORA 17:22:00</t>
        </is>
      </c>
      <c r="BC3" s="5" t="n"/>
      <c r="BD3" s="6" t="n"/>
      <c r="BE3" s="4" t="inlineStr">
        <is>
          <t>HORA 18:59:00</t>
        </is>
      </c>
      <c r="BF3" s="5" t="n"/>
      <c r="BG3" s="6" t="n"/>
      <c r="BH3" s="4" t="inlineStr">
        <is>
          <t>HORA 19:05:00</t>
        </is>
      </c>
      <c r="BI3" s="5" t="n"/>
      <c r="BJ3" s="6" t="n"/>
      <c r="BK3" s="4" t="inlineStr">
        <is>
          <t>HORA 19:08:00</t>
        </is>
      </c>
      <c r="BL3" s="5" t="n"/>
      <c r="BM3" s="6" t="n"/>
    </row>
    <row r="4">
      <c r="A4" s="7" t="n"/>
      <c r="B4" s="7" t="n"/>
      <c r="C4" s="8" t="inlineStr">
        <is>
          <t>GEN.ACTUAL</t>
        </is>
      </c>
      <c r="D4" s="8" t="inlineStr">
        <is>
          <t>MONTO</t>
        </is>
      </c>
      <c r="E4" s="8" t="inlineStr">
        <is>
          <t>CONSIGNA</t>
        </is>
      </c>
      <c r="F4" s="8" t="inlineStr">
        <is>
          <t>GEN.ACTUAL</t>
        </is>
      </c>
      <c r="G4" s="8" t="inlineStr">
        <is>
          <t>MONTO</t>
        </is>
      </c>
      <c r="H4" s="8" t="inlineStr">
        <is>
          <t>CONSIGNA</t>
        </is>
      </c>
      <c r="I4" s="8" t="inlineStr">
        <is>
          <t>GEN.ACTUAL</t>
        </is>
      </c>
      <c r="J4" s="8" t="inlineStr">
        <is>
          <t>MONTO</t>
        </is>
      </c>
      <c r="K4" s="8" t="inlineStr">
        <is>
          <t>CONSIGNA</t>
        </is>
      </c>
      <c r="L4" s="8" t="inlineStr">
        <is>
          <t>GEN.ACTUAL</t>
        </is>
      </c>
      <c r="M4" s="8" t="inlineStr">
        <is>
          <t>MONTO</t>
        </is>
      </c>
      <c r="N4" s="8" t="inlineStr">
        <is>
          <t>CONSIGNA</t>
        </is>
      </c>
      <c r="O4" s="8" t="inlineStr">
        <is>
          <t>GEN.ACTUAL</t>
        </is>
      </c>
      <c r="P4" s="8" t="inlineStr">
        <is>
          <t>MONTO</t>
        </is>
      </c>
      <c r="Q4" s="8" t="inlineStr">
        <is>
          <t>CONSIGNA</t>
        </is>
      </c>
      <c r="R4" s="8" t="inlineStr">
        <is>
          <t>GEN.ACTUAL</t>
        </is>
      </c>
      <c r="S4" s="8" t="inlineStr">
        <is>
          <t>MONTO</t>
        </is>
      </c>
      <c r="T4" s="8" t="inlineStr">
        <is>
          <t>CONSIGNA</t>
        </is>
      </c>
      <c r="U4" s="8" t="inlineStr">
        <is>
          <t>GEN.ACTUAL</t>
        </is>
      </c>
      <c r="V4" s="8" t="inlineStr">
        <is>
          <t>MONTO</t>
        </is>
      </c>
      <c r="W4" s="8" t="inlineStr">
        <is>
          <t>CONSIGNA</t>
        </is>
      </c>
      <c r="X4" s="8" t="inlineStr">
        <is>
          <t>GEN.ACTUAL</t>
        </is>
      </c>
      <c r="Y4" s="8" t="inlineStr">
        <is>
          <t>MONTO</t>
        </is>
      </c>
      <c r="Z4" s="8" t="inlineStr">
        <is>
          <t>CONSIGNA</t>
        </is>
      </c>
      <c r="AA4" s="8" t="inlineStr">
        <is>
          <t>GEN.ACTUAL</t>
        </is>
      </c>
      <c r="AB4" s="8" t="inlineStr">
        <is>
          <t>MONTO</t>
        </is>
      </c>
      <c r="AC4" s="8" t="inlineStr">
        <is>
          <t>CONSIGNA</t>
        </is>
      </c>
      <c r="AD4" s="8" t="inlineStr">
        <is>
          <t>GEN.ACTUAL</t>
        </is>
      </c>
      <c r="AE4" s="8" t="inlineStr">
        <is>
          <t>MONTO</t>
        </is>
      </c>
      <c r="AF4" s="8" t="inlineStr">
        <is>
          <t>CONSIGNA</t>
        </is>
      </c>
      <c r="AG4" s="8" t="inlineStr">
        <is>
          <t>GEN.ACTUAL</t>
        </is>
      </c>
      <c r="AH4" s="8" t="inlineStr">
        <is>
          <t>MONTO</t>
        </is>
      </c>
      <c r="AI4" s="8" t="inlineStr">
        <is>
          <t>CONSIGNA</t>
        </is>
      </c>
      <c r="AJ4" s="8" t="inlineStr">
        <is>
          <t>GEN.ACTUAL</t>
        </is>
      </c>
      <c r="AK4" s="8" t="inlineStr">
        <is>
          <t>MONTO</t>
        </is>
      </c>
      <c r="AL4" s="8" t="inlineStr">
        <is>
          <t>CONSIGNA</t>
        </is>
      </c>
      <c r="AM4" s="8" t="inlineStr">
        <is>
          <t>GEN.ACTUAL</t>
        </is>
      </c>
      <c r="AN4" s="8" t="inlineStr">
        <is>
          <t>MONTO</t>
        </is>
      </c>
      <c r="AO4" s="8" t="inlineStr">
        <is>
          <t>CONSIGNA</t>
        </is>
      </c>
      <c r="AP4" s="8" t="inlineStr">
        <is>
          <t>GEN.ACTUAL</t>
        </is>
      </c>
      <c r="AQ4" s="8" t="inlineStr">
        <is>
          <t>MONTO</t>
        </is>
      </c>
      <c r="AR4" s="8" t="inlineStr">
        <is>
          <t>CONSIGNA</t>
        </is>
      </c>
      <c r="AS4" s="8" t="inlineStr">
        <is>
          <t>GEN.ACTUAL</t>
        </is>
      </c>
      <c r="AT4" s="8" t="inlineStr">
        <is>
          <t>MONTO</t>
        </is>
      </c>
      <c r="AU4" s="8" t="inlineStr">
        <is>
          <t>CONSIGNA</t>
        </is>
      </c>
      <c r="AV4" s="8" t="inlineStr">
        <is>
          <t>GEN.ACTUAL</t>
        </is>
      </c>
      <c r="AW4" s="8" t="inlineStr">
        <is>
          <t>MONTO</t>
        </is>
      </c>
      <c r="AX4" s="8" t="inlineStr">
        <is>
          <t>CONSIGNA</t>
        </is>
      </c>
      <c r="AY4" s="8" t="inlineStr">
        <is>
          <t>GEN.ACTUAL</t>
        </is>
      </c>
      <c r="AZ4" s="8" t="inlineStr">
        <is>
          <t>MONTO</t>
        </is>
      </c>
      <c r="BA4" s="8" t="inlineStr">
        <is>
          <t>CONSIGNA</t>
        </is>
      </c>
      <c r="BB4" s="8" t="inlineStr">
        <is>
          <t>GEN.ACTUAL</t>
        </is>
      </c>
      <c r="BC4" s="8" t="inlineStr">
        <is>
          <t>MONTO</t>
        </is>
      </c>
      <c r="BD4" s="8" t="inlineStr">
        <is>
          <t>CONSIGNA</t>
        </is>
      </c>
      <c r="BE4" s="8" t="inlineStr">
        <is>
          <t>GEN.ACTUAL</t>
        </is>
      </c>
      <c r="BF4" s="8" t="inlineStr">
        <is>
          <t>MONTO</t>
        </is>
      </c>
      <c r="BG4" s="8" t="inlineStr">
        <is>
          <t>CONSIGNA</t>
        </is>
      </c>
      <c r="BH4" s="8" t="inlineStr">
        <is>
          <t>GEN.ACTUAL</t>
        </is>
      </c>
      <c r="BI4" s="8" t="inlineStr">
        <is>
          <t>MONTO</t>
        </is>
      </c>
      <c r="BJ4" s="8" t="inlineStr">
        <is>
          <t>CONSIGNA</t>
        </is>
      </c>
      <c r="BK4" s="8" t="inlineStr">
        <is>
          <t>GEN.ACTUAL</t>
        </is>
      </c>
      <c r="BL4" s="8" t="inlineStr">
        <is>
          <t>MONTO</t>
        </is>
      </c>
      <c r="BM4" s="8" t="inlineStr">
        <is>
          <t>CONSIGNA</t>
        </is>
      </c>
    </row>
    <row r="5">
      <c r="A5" s="9" t="n">
        <v>45962</v>
      </c>
      <c r="B5" s="10" t="inlineStr">
        <is>
          <t>PFV-ELPELICANO</t>
        </is>
      </c>
      <c r="C5" s="11" t="n">
        <v>14</v>
      </c>
      <c r="D5" s="12" t="n">
        <v>0</v>
      </c>
      <c r="E5" s="13" t="n">
        <v>13.5</v>
      </c>
      <c r="F5" s="11" t="n">
        <v>14</v>
      </c>
      <c r="G5" s="12" t="n">
        <v>14</v>
      </c>
      <c r="H5" s="13" t="n">
        <v>28.5</v>
      </c>
      <c r="I5" s="11" t="n">
        <v>29</v>
      </c>
      <c r="J5" s="12" t="n">
        <v>-5</v>
      </c>
      <c r="K5" s="13" t="n">
        <v>24.4</v>
      </c>
      <c r="L5" s="11" t="n">
        <v>29</v>
      </c>
      <c r="M5" s="12" t="n">
        <v>-8</v>
      </c>
      <c r="N5" s="13" t="n">
        <v>20.7</v>
      </c>
      <c r="O5" s="11" t="n">
        <v>21</v>
      </c>
      <c r="P5" s="12" t="n">
        <v>-5</v>
      </c>
      <c r="Q5" s="13" t="n">
        <v>15.3</v>
      </c>
      <c r="R5" s="11" t="n">
        <v>15</v>
      </c>
      <c r="S5" s="12" t="n">
        <v>1</v>
      </c>
      <c r="T5" s="13" t="n">
        <v>16.2</v>
      </c>
      <c r="U5" s="11" t="n">
        <v>15</v>
      </c>
      <c r="V5" s="12" t="n">
        <v>4</v>
      </c>
      <c r="W5" s="13" t="n">
        <v>19.2</v>
      </c>
      <c r="X5" s="11" t="n">
        <v>21</v>
      </c>
      <c r="Y5" s="12" t="n">
        <v>3</v>
      </c>
      <c r="Z5" s="13" t="n">
        <v>23.9</v>
      </c>
      <c r="AA5" s="11" t="n">
        <v>24</v>
      </c>
      <c r="AB5" s="12" t="n">
        <v>11</v>
      </c>
      <c r="AC5" s="13" t="n">
        <v>35.3</v>
      </c>
      <c r="AD5" s="11" t="n">
        <v>35</v>
      </c>
      <c r="AE5" s="12" t="n">
        <v>3</v>
      </c>
      <c r="AF5" s="13" t="n">
        <v>38.3</v>
      </c>
      <c r="AG5" s="11" t="n">
        <v>38</v>
      </c>
      <c r="AH5" s="12" t="n">
        <v>-8</v>
      </c>
      <c r="AI5" s="13" t="n">
        <v>30</v>
      </c>
      <c r="AJ5" s="11" t="n">
        <v>30</v>
      </c>
      <c r="AK5" s="12" t="n">
        <v>-0</v>
      </c>
      <c r="AL5" s="13" t="n">
        <v>29.9</v>
      </c>
      <c r="AM5" s="11" t="n">
        <v>30</v>
      </c>
      <c r="AN5" s="12" t="n">
        <v>1</v>
      </c>
      <c r="AO5" s="13" t="n">
        <v>30.7</v>
      </c>
      <c r="AP5" s="11" t="n">
        <v>31</v>
      </c>
      <c r="AQ5" s="12" t="n">
        <v>2</v>
      </c>
      <c r="AR5" s="13" t="n">
        <v>33.2</v>
      </c>
      <c r="AS5" s="11" t="n">
        <v>33</v>
      </c>
      <c r="AT5" s="12" t="n">
        <v>-6</v>
      </c>
      <c r="AU5" s="13" t="n">
        <v>26.6</v>
      </c>
      <c r="AV5" s="11" t="n">
        <v>27</v>
      </c>
      <c r="AW5" s="12" t="n">
        <v>-2</v>
      </c>
      <c r="AX5" s="13" t="n">
        <v>24.6</v>
      </c>
      <c r="AY5" s="11" t="n">
        <v>25</v>
      </c>
      <c r="AZ5" s="12" t="n">
        <v>-3</v>
      </c>
      <c r="BA5" s="13" t="n">
        <v>22.2</v>
      </c>
      <c r="BB5" s="11" t="n">
        <v>22</v>
      </c>
      <c r="BC5" s="12" t="n">
        <v>5</v>
      </c>
      <c r="BD5" s="13" t="n">
        <v>27.3</v>
      </c>
      <c r="BE5" s="11" t="n">
        <v>27</v>
      </c>
      <c r="BF5" s="12" t="n">
        <v>6</v>
      </c>
      <c r="BG5" s="13" t="n">
        <v>32.6</v>
      </c>
      <c r="BH5" s="11" t="n">
        <v>27</v>
      </c>
      <c r="BI5" s="12" t="n">
        <v>8</v>
      </c>
      <c r="BJ5" s="13" t="n">
        <v>34.9</v>
      </c>
      <c r="BK5" s="11" t="n">
        <v>27</v>
      </c>
      <c r="BL5" s="12" t="n">
        <v>6</v>
      </c>
      <c r="BM5" s="13" t="n">
        <v>33</v>
      </c>
    </row>
    <row r="6">
      <c r="A6" s="14" t="n">
        <v>45962</v>
      </c>
      <c r="B6" s="15" t="inlineStr">
        <is>
          <t>PFV-ELROMERO</t>
        </is>
      </c>
      <c r="C6" s="11" t="n">
        <v>6</v>
      </c>
      <c r="D6" s="12" t="n">
        <v>0</v>
      </c>
      <c r="E6" s="13" t="n">
        <v>5.6</v>
      </c>
      <c r="F6" s="11" t="n">
        <v>13</v>
      </c>
      <c r="G6" s="12" t="n">
        <v>8</v>
      </c>
      <c r="H6" s="13" t="n">
        <v>21</v>
      </c>
      <c r="I6" s="11" t="n">
        <v>16</v>
      </c>
      <c r="J6" s="12" t="n">
        <v>9</v>
      </c>
      <c r="K6" s="13" t="n">
        <v>25.2</v>
      </c>
      <c r="L6" s="11" t="n">
        <v>20</v>
      </c>
      <c r="M6" s="12" t="n">
        <v>8</v>
      </c>
      <c r="N6" s="13" t="n">
        <v>27.8</v>
      </c>
      <c r="O6" s="11" t="n">
        <v>23</v>
      </c>
      <c r="P6" s="12" t="n">
        <v>5</v>
      </c>
      <c r="Q6" s="13" t="n">
        <v>27.7</v>
      </c>
      <c r="R6" s="11" t="n">
        <v>28</v>
      </c>
      <c r="S6" s="12" t="n">
        <v>2</v>
      </c>
      <c r="T6" s="13" t="n">
        <v>29.3</v>
      </c>
      <c r="U6" s="11" t="n">
        <v>28</v>
      </c>
      <c r="V6" s="12" t="n">
        <v>7</v>
      </c>
      <c r="W6" s="13" t="n">
        <v>34.9</v>
      </c>
      <c r="X6" s="11" t="n">
        <v>28</v>
      </c>
      <c r="Y6" s="12" t="n">
        <v>15</v>
      </c>
      <c r="Z6" s="13" t="n">
        <v>43.3</v>
      </c>
      <c r="AA6" s="11" t="n">
        <v>136</v>
      </c>
      <c r="AB6" s="12" t="n">
        <v>-72</v>
      </c>
      <c r="AC6" s="13" t="n">
        <v>64</v>
      </c>
      <c r="AD6" s="11" t="n">
        <v>92</v>
      </c>
      <c r="AE6" s="12" t="n">
        <v>-23</v>
      </c>
      <c r="AF6" s="13" t="n">
        <v>69.3</v>
      </c>
      <c r="AG6" s="11" t="n">
        <v>68</v>
      </c>
      <c r="AH6" s="12" t="n">
        <v>8</v>
      </c>
      <c r="AI6" s="13" t="n">
        <v>76.40000000000001</v>
      </c>
      <c r="AJ6" s="11" t="n">
        <v>128</v>
      </c>
      <c r="AK6" s="12" t="n">
        <v>-52</v>
      </c>
      <c r="AL6" s="13" t="n">
        <v>76.40000000000001</v>
      </c>
      <c r="AM6" s="11" t="n">
        <v>110</v>
      </c>
      <c r="AN6" s="12" t="n">
        <v>-34</v>
      </c>
      <c r="AO6" s="13" t="n">
        <v>76.40000000000001</v>
      </c>
      <c r="AP6" s="11" t="n">
        <v>115</v>
      </c>
      <c r="AQ6" s="12" t="n">
        <v>-38</v>
      </c>
      <c r="AR6" s="13" t="n">
        <v>76.40000000000001</v>
      </c>
      <c r="AS6" s="11" t="n">
        <v>60</v>
      </c>
      <c r="AT6" s="12" t="n">
        <v>19</v>
      </c>
      <c r="AU6" s="13" t="n">
        <v>78.59999999999999</v>
      </c>
      <c r="AV6" s="11" t="n">
        <v>78</v>
      </c>
      <c r="AW6" s="12" t="n">
        <v>-34</v>
      </c>
      <c r="AX6" s="13" t="n">
        <v>44.7</v>
      </c>
      <c r="AY6" s="11" t="n">
        <v>45</v>
      </c>
      <c r="AZ6" s="12" t="n">
        <v>-4</v>
      </c>
      <c r="BA6" s="13" t="n">
        <v>40.3</v>
      </c>
      <c r="BB6" s="11" t="n">
        <v>45</v>
      </c>
      <c r="BC6" s="12" t="n">
        <v>5</v>
      </c>
      <c r="BD6" s="13" t="n">
        <v>49.4</v>
      </c>
      <c r="BE6" s="11" t="n">
        <v>18</v>
      </c>
      <c r="BF6" s="12" t="n">
        <v>5</v>
      </c>
      <c r="BG6" s="13" t="n">
        <v>22.3</v>
      </c>
      <c r="BH6" s="11" t="n">
        <v>13</v>
      </c>
      <c r="BI6" s="12" t="n">
        <v>5</v>
      </c>
      <c r="BJ6" s="13" t="n">
        <v>18</v>
      </c>
      <c r="BK6" s="11" t="n">
        <v>12</v>
      </c>
      <c r="BL6" s="12" t="n">
        <v>5</v>
      </c>
      <c r="BM6" s="13" t="n">
        <v>16.3</v>
      </c>
    </row>
    <row r="7">
      <c r="A7" s="9" t="n">
        <v>45962</v>
      </c>
      <c r="B7" s="10" t="inlineStr">
        <is>
          <t>PFV-LAHUELLA</t>
        </is>
      </c>
      <c r="C7" s="11" t="n">
        <v>10</v>
      </c>
      <c r="D7" s="12" t="n">
        <v>0</v>
      </c>
      <c r="E7" s="13" t="n">
        <v>9.9</v>
      </c>
      <c r="F7" s="11" t="n">
        <v>10</v>
      </c>
      <c r="G7" s="12" t="n">
        <v>13</v>
      </c>
      <c r="H7" s="13" t="n">
        <v>22.9</v>
      </c>
      <c r="I7" s="11" t="n">
        <v>13</v>
      </c>
      <c r="J7" s="12" t="n">
        <v>6</v>
      </c>
      <c r="K7" s="13" t="n">
        <v>19.2</v>
      </c>
      <c r="L7" s="11" t="n">
        <v>23</v>
      </c>
      <c r="M7" s="12" t="n">
        <v>-7</v>
      </c>
      <c r="N7" s="13" t="n">
        <v>16.3</v>
      </c>
      <c r="O7" s="11" t="n">
        <v>19</v>
      </c>
      <c r="P7" s="12" t="n">
        <v>-7</v>
      </c>
      <c r="Q7" s="13" t="n">
        <v>12</v>
      </c>
      <c r="R7" s="11" t="n">
        <v>12</v>
      </c>
      <c r="S7" s="12" t="n">
        <v>1</v>
      </c>
      <c r="T7" s="13" t="n">
        <v>12.7</v>
      </c>
      <c r="U7" s="11" t="n">
        <v>12</v>
      </c>
      <c r="V7" s="12" t="n">
        <v>3</v>
      </c>
      <c r="W7" s="13" t="n">
        <v>15.1</v>
      </c>
      <c r="X7" s="11" t="n">
        <v>15</v>
      </c>
      <c r="Y7" s="12" t="n">
        <v>4</v>
      </c>
      <c r="Z7" s="13" t="n">
        <v>18.8</v>
      </c>
      <c r="AA7" s="11" t="n">
        <v>19</v>
      </c>
      <c r="AB7" s="12" t="n">
        <v>9</v>
      </c>
      <c r="AC7" s="13" t="n">
        <v>27.7</v>
      </c>
      <c r="AD7" s="11" t="n">
        <v>28</v>
      </c>
      <c r="AE7" s="12" t="n">
        <v>2</v>
      </c>
      <c r="AF7" s="13" t="n">
        <v>30.1</v>
      </c>
      <c r="AG7" s="11" t="n">
        <v>30</v>
      </c>
      <c r="AH7" s="12" t="n">
        <v>-6</v>
      </c>
      <c r="AI7" s="13" t="n">
        <v>23.6</v>
      </c>
      <c r="AJ7" s="11" t="n">
        <v>24</v>
      </c>
      <c r="AK7" s="12" t="n">
        <v>-1</v>
      </c>
      <c r="AL7" s="13" t="n">
        <v>23.5</v>
      </c>
      <c r="AM7" s="11" t="n">
        <v>24</v>
      </c>
      <c r="AN7" s="12" t="n">
        <v>0</v>
      </c>
      <c r="AO7" s="13" t="n">
        <v>24.2</v>
      </c>
      <c r="AP7" s="11" t="n">
        <v>24</v>
      </c>
      <c r="AQ7" s="12" t="n">
        <v>2</v>
      </c>
      <c r="AR7" s="13" t="n">
        <v>26.1</v>
      </c>
      <c r="AS7" s="11" t="n">
        <v>26</v>
      </c>
      <c r="AT7" s="12" t="n">
        <v>-5</v>
      </c>
      <c r="AU7" s="13" t="n">
        <v>20.9</v>
      </c>
      <c r="AV7" s="11" t="n">
        <v>21</v>
      </c>
      <c r="AW7" s="12" t="n">
        <v>-2</v>
      </c>
      <c r="AX7" s="13" t="n">
        <v>19.4</v>
      </c>
      <c r="AY7" s="11" t="n">
        <v>19</v>
      </c>
      <c r="AZ7" s="12" t="n">
        <v>-2</v>
      </c>
      <c r="BA7" s="13" t="n">
        <v>17.5</v>
      </c>
      <c r="BB7" s="11" t="n">
        <v>18</v>
      </c>
      <c r="BC7" s="12" t="n">
        <v>3</v>
      </c>
      <c r="BD7" s="13" t="n">
        <v>21.4</v>
      </c>
      <c r="BE7" s="11" t="n">
        <v>21</v>
      </c>
      <c r="BF7" s="12" t="n">
        <v>5</v>
      </c>
      <c r="BG7" s="13" t="n">
        <v>25.6</v>
      </c>
      <c r="BH7" s="11" t="n">
        <v>25</v>
      </c>
      <c r="BI7" s="12" t="n">
        <v>4</v>
      </c>
      <c r="BJ7" s="13" t="n">
        <v>29.3</v>
      </c>
      <c r="BK7" s="11" t="n">
        <v>24</v>
      </c>
      <c r="BL7" s="12" t="n">
        <v>4</v>
      </c>
      <c r="BM7" s="13" t="n">
        <v>27.4</v>
      </c>
    </row>
    <row r="10">
      <c r="E10" s="16" t="inlineStr">
        <is>
          <t>suma total</t>
        </is>
      </c>
      <c r="F10" s="17" t="inlineStr">
        <is>
          <t>GEN.ACTUAL</t>
        </is>
      </c>
      <c r="G10" s="17" t="inlineStr">
        <is>
          <t>MONTO</t>
        </is>
      </c>
      <c r="H10" s="17" t="inlineStr">
        <is>
          <t>CONSIGNA</t>
        </is>
      </c>
    </row>
    <row r="11">
      <c r="E11" s="18" t="inlineStr">
        <is>
          <t>PFV-ELPELICANO</t>
        </is>
      </c>
      <c r="F11" s="19">
        <f>SUM(C5,F5,I5,L5,O5,R5,U5,X5,AA5,AD5,AG5,AJ5,AM5,AP5,AS5,AV5,AY5,BB5,BE5,BH5,BK5)</f>
        <v/>
      </c>
      <c r="G11" s="20">
        <f>SUM(D5,G5,J5,M5,P5,S5,V5,Y5,AB5,AE5,AH5,AK5,AN5,AQ5,AT5,AW5,AZ5,BC5,BF5,BI5,BL5)</f>
        <v/>
      </c>
      <c r="H11" s="21">
        <f>SUM(E5,H5,K5,N5,Q5,T5,W5,Z5,AC5,AF5,AI5,AL5,AO5,AR5,AU5,AX5,BA5,BD5,BG5,BJ5,BM5)</f>
        <v/>
      </c>
    </row>
    <row r="12">
      <c r="E12" s="18" t="inlineStr">
        <is>
          <t>PFV-ELROMERO</t>
        </is>
      </c>
      <c r="F12" s="19">
        <f>SUM(C6,F6,I6,L6,O6,R6,U6,X6,AA6,AD6,AG6,AJ6,AM6,AP6,AS6,AV6,AY6,BB6,BE6,BH6,BK6)</f>
        <v/>
      </c>
      <c r="G12" s="20">
        <f>SUM(D6,G6,J6,M6,P6,S6,V6,Y6,AB6,AE6,AH6,AK6,AN6,AQ6,AT6,AW6,AZ6,BC6,BF6,BI6,BL6)</f>
        <v/>
      </c>
      <c r="H12" s="21">
        <f>SUM(E6,H6,K6,N6,Q6,T6,W6,Z6,AC6,AF6,AI6,AL6,AO6,AR6,AU6,AX6,BA6,BD6,BG6,BJ6,BM6)</f>
        <v/>
      </c>
    </row>
    <row r="13">
      <c r="E13" s="18" t="inlineStr">
        <is>
          <t>PFV-LAHUELLA</t>
        </is>
      </c>
      <c r="F13" s="19">
        <f>SUM(C7,F7,I7,L7,O7,R7,U7,X7,AA7,AD7,AG7,AJ7,AM7,AP7,AS7,AV7,AY7,BB7,BE7,BH7,BK7)</f>
        <v/>
      </c>
      <c r="G13" s="20">
        <f>SUM(D7,G7,J7,M7,P7,S7,V7,Y7,AB7,AE7,AH7,AK7,AN7,AQ7,AT7,AW7,AZ7,BC7,BF7,BI7,BL7)</f>
        <v/>
      </c>
      <c r="H13" s="21">
        <f>SUM(E7,H7,K7,N7,Q7,T7,W7,Z7,AC7,AF7,AI7,AL7,AO7,AR7,AU7,AX7,BA7,BD7,BG7,BJ7,BM7)</f>
        <v/>
      </c>
    </row>
    <row r="114">
      <c r="C114" t="inlineStr">
        <is>
          <t>07:26</t>
        </is>
      </c>
      <c r="D114" t="inlineStr">
        <is>
          <t>07:39</t>
        </is>
      </c>
      <c r="E114" t="inlineStr">
        <is>
          <t>07:44</t>
        </is>
      </c>
      <c r="F114" t="inlineStr">
        <is>
          <t>07:49</t>
        </is>
      </c>
      <c r="G114" t="inlineStr">
        <is>
          <t>07:52</t>
        </is>
      </c>
      <c r="H114" t="inlineStr">
        <is>
          <t>08:16</t>
        </is>
      </c>
      <c r="I114" t="inlineStr">
        <is>
          <t>08:21</t>
        </is>
      </c>
      <c r="J114" t="inlineStr">
        <is>
          <t>08:28</t>
        </is>
      </c>
      <c r="K114" t="inlineStr">
        <is>
          <t>10:03</t>
        </is>
      </c>
      <c r="L114" t="inlineStr">
        <is>
          <t>10:32</t>
        </is>
      </c>
      <c r="M114" t="inlineStr">
        <is>
          <t>11:57</t>
        </is>
      </c>
      <c r="N114" t="inlineStr">
        <is>
          <t>12:13</t>
        </is>
      </c>
      <c r="O114" t="inlineStr">
        <is>
          <t>12:31</t>
        </is>
      </c>
      <c r="P114" t="inlineStr">
        <is>
          <t>13:32</t>
        </is>
      </c>
      <c r="Q114" t="inlineStr">
        <is>
          <t>15:12</t>
        </is>
      </c>
      <c r="R114" t="inlineStr">
        <is>
          <t>16:52</t>
        </is>
      </c>
      <c r="S114" t="inlineStr">
        <is>
          <t>17:01</t>
        </is>
      </c>
      <c r="T114" t="inlineStr">
        <is>
          <t>17:22</t>
        </is>
      </c>
      <c r="U114" t="inlineStr">
        <is>
          <t>18:59</t>
        </is>
      </c>
      <c r="V114" t="inlineStr">
        <is>
          <t>19:05</t>
        </is>
      </c>
      <c r="W114" t="inlineStr">
        <is>
          <t>19:08</t>
        </is>
      </c>
    </row>
    <row r="115">
      <c r="C115" t="n">
        <v>14</v>
      </c>
      <c r="D115" t="n">
        <v>14</v>
      </c>
      <c r="E115" t="n">
        <v>29</v>
      </c>
      <c r="F115" t="n">
        <v>29</v>
      </c>
      <c r="G115" t="n">
        <v>21</v>
      </c>
      <c r="H115" t="n">
        <v>15</v>
      </c>
      <c r="I115" t="n">
        <v>15</v>
      </c>
      <c r="J115" t="n">
        <v>21</v>
      </c>
      <c r="K115" t="n">
        <v>24</v>
      </c>
      <c r="L115" t="n">
        <v>35</v>
      </c>
      <c r="M115" t="n">
        <v>38</v>
      </c>
      <c r="N115" t="n">
        <v>30</v>
      </c>
      <c r="O115" t="n">
        <v>30</v>
      </c>
      <c r="P115" t="n">
        <v>31</v>
      </c>
      <c r="Q115" t="n">
        <v>33</v>
      </c>
      <c r="R115" t="n">
        <v>27</v>
      </c>
      <c r="S115" t="n">
        <v>25</v>
      </c>
      <c r="T115" t="n">
        <v>22</v>
      </c>
      <c r="U115" t="n">
        <v>27</v>
      </c>
      <c r="V115" t="n">
        <v>27</v>
      </c>
      <c r="W115" t="n">
        <v>27</v>
      </c>
    </row>
    <row r="116">
      <c r="C116" t="n">
        <v>6</v>
      </c>
      <c r="D116" t="n">
        <v>13</v>
      </c>
      <c r="E116" t="n">
        <v>16</v>
      </c>
      <c r="F116" t="n">
        <v>20</v>
      </c>
      <c r="G116" t="n">
        <v>23</v>
      </c>
      <c r="H116" t="n">
        <v>28</v>
      </c>
      <c r="I116" t="n">
        <v>28</v>
      </c>
      <c r="J116" t="n">
        <v>28</v>
      </c>
      <c r="K116" t="n">
        <v>136</v>
      </c>
      <c r="L116" t="n">
        <v>92</v>
      </c>
      <c r="M116" t="n">
        <v>68</v>
      </c>
      <c r="N116" t="n">
        <v>128</v>
      </c>
      <c r="O116" t="n">
        <v>110</v>
      </c>
      <c r="P116" t="n">
        <v>115</v>
      </c>
      <c r="Q116" t="n">
        <v>60</v>
      </c>
      <c r="R116" t="n">
        <v>78</v>
      </c>
      <c r="S116" t="n">
        <v>45</v>
      </c>
      <c r="T116" t="n">
        <v>45</v>
      </c>
      <c r="U116" t="n">
        <v>18</v>
      </c>
      <c r="V116" t="n">
        <v>13</v>
      </c>
      <c r="W116" t="n">
        <v>12</v>
      </c>
    </row>
    <row r="117">
      <c r="C117" t="n">
        <v>10</v>
      </c>
      <c r="D117" t="n">
        <v>10</v>
      </c>
      <c r="E117" t="n">
        <v>13</v>
      </c>
      <c r="F117" t="n">
        <v>23</v>
      </c>
      <c r="G117" t="n">
        <v>19</v>
      </c>
      <c r="H117" t="n">
        <v>12</v>
      </c>
      <c r="I117" t="n">
        <v>12</v>
      </c>
      <c r="J117" t="n">
        <v>15</v>
      </c>
      <c r="K117" t="n">
        <v>19</v>
      </c>
      <c r="L117" t="n">
        <v>28</v>
      </c>
      <c r="M117" t="n">
        <v>30</v>
      </c>
      <c r="N117" t="n">
        <v>24</v>
      </c>
      <c r="O117" t="n">
        <v>24</v>
      </c>
      <c r="P117" t="n">
        <v>24</v>
      </c>
      <c r="Q117" t="n">
        <v>26</v>
      </c>
      <c r="R117" t="n">
        <v>21</v>
      </c>
      <c r="S117" t="n">
        <v>19</v>
      </c>
      <c r="T117" t="n">
        <v>18</v>
      </c>
      <c r="U117" t="n">
        <v>21</v>
      </c>
      <c r="V117" t="n">
        <v>25</v>
      </c>
      <c r="W117" t="n">
        <v>24</v>
      </c>
    </row>
  </sheetData>
  <mergeCells count="23">
    <mergeCell ref="B3:B4"/>
    <mergeCell ref="X3:Z3"/>
    <mergeCell ref="AJ3:AL3"/>
    <mergeCell ref="I3:K3"/>
    <mergeCell ref="U3:W3"/>
    <mergeCell ref="BK3:BM3"/>
    <mergeCell ref="R3:T3"/>
    <mergeCell ref="A3:A4"/>
    <mergeCell ref="AG3:AI3"/>
    <mergeCell ref="AA3:AC3"/>
    <mergeCell ref="AM3:AO3"/>
    <mergeCell ref="AS3:AU3"/>
    <mergeCell ref="C3:E3"/>
    <mergeCell ref="AD3:AF3"/>
    <mergeCell ref="AY3:BA3"/>
    <mergeCell ref="BE3:BG3"/>
    <mergeCell ref="AP3:AR3"/>
    <mergeCell ref="O3:Q3"/>
    <mergeCell ref="BB3:BD3"/>
    <mergeCell ref="AV3:AX3"/>
    <mergeCell ref="F3:H3"/>
    <mergeCell ref="L3:N3"/>
    <mergeCell ref="BH3:BJ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 ht="2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</row>
    <row r="2" ht="27" customHeight="1">
      <c r="A2" s="2" t="n"/>
    </row>
    <row r="3">
      <c r="A3" s="3" t="inlineStr">
        <is>
          <t>FECHA</t>
        </is>
      </c>
      <c r="B3" s="4" t="inlineStr">
        <is>
          <t>GENERADORA</t>
        </is>
      </c>
      <c r="C3" s="4" t="inlineStr">
        <is>
          <t>HORA 07:20:00</t>
        </is>
      </c>
      <c r="D3" s="5" t="n"/>
      <c r="E3" s="6" t="n"/>
      <c r="F3" s="4" t="inlineStr">
        <is>
          <t>HORA 07:42:00</t>
        </is>
      </c>
      <c r="G3" s="5" t="n"/>
      <c r="H3" s="6" t="n"/>
      <c r="I3" s="4" t="inlineStr">
        <is>
          <t>HORA 07:46:00</t>
        </is>
      </c>
      <c r="J3" s="5" t="n"/>
      <c r="K3" s="6" t="n"/>
      <c r="L3" s="4" t="inlineStr">
        <is>
          <t>HORA 08:09:00</t>
        </is>
      </c>
      <c r="M3" s="5" t="n"/>
      <c r="N3" s="6" t="n"/>
      <c r="O3" s="4" t="inlineStr">
        <is>
          <t>HORA 08:15:00</t>
        </is>
      </c>
      <c r="P3" s="5" t="n"/>
      <c r="Q3" s="6" t="n"/>
      <c r="R3" s="4" t="inlineStr">
        <is>
          <t>HORA 08:37:00</t>
        </is>
      </c>
      <c r="S3" s="5" t="n"/>
      <c r="T3" s="6" t="n"/>
      <c r="U3" s="4" t="inlineStr">
        <is>
          <t>HORA 09:18:00</t>
        </is>
      </c>
      <c r="V3" s="5" t="n"/>
      <c r="W3" s="6" t="n"/>
      <c r="X3" s="4" t="inlineStr">
        <is>
          <t>HORA 09:44:00</t>
        </is>
      </c>
      <c r="Y3" s="5" t="n"/>
      <c r="Z3" s="6" t="n"/>
      <c r="AA3" s="4" t="inlineStr">
        <is>
          <t>HORA 10:46:00</t>
        </is>
      </c>
      <c r="AB3" s="5" t="n"/>
      <c r="AC3" s="6" t="n"/>
      <c r="AD3" s="4" t="inlineStr">
        <is>
          <t>HORA 11:08:00</t>
        </is>
      </c>
      <c r="AE3" s="5" t="n"/>
      <c r="AF3" s="6" t="n"/>
      <c r="AG3" s="4" t="inlineStr">
        <is>
          <t>HORA 11:47:00</t>
        </is>
      </c>
      <c r="AH3" s="5" t="n"/>
      <c r="AI3" s="6" t="n"/>
      <c r="AJ3" s="4" t="inlineStr">
        <is>
          <t>HORA 12:26:00</t>
        </is>
      </c>
      <c r="AK3" s="5" t="n"/>
      <c r="AL3" s="6" t="n"/>
      <c r="AM3" s="4" t="inlineStr">
        <is>
          <t>HORA 12:32:00</t>
        </is>
      </c>
      <c r="AN3" s="5" t="n"/>
      <c r="AO3" s="6" t="n"/>
      <c r="AP3" s="4" t="inlineStr">
        <is>
          <t>HORA 13:20:00</t>
        </is>
      </c>
      <c r="AQ3" s="5" t="n"/>
      <c r="AR3" s="6" t="n"/>
      <c r="AS3" s="4" t="inlineStr">
        <is>
          <t>HORA 16:05:00</t>
        </is>
      </c>
      <c r="AT3" s="5" t="n"/>
      <c r="AU3" s="6" t="n"/>
      <c r="AV3" s="4" t="inlineStr">
        <is>
          <t>HORA 16:43:00</t>
        </is>
      </c>
      <c r="AW3" s="5" t="n"/>
      <c r="AX3" s="6" t="n"/>
      <c r="AY3" s="4" t="inlineStr">
        <is>
          <t>HORA 16:53:00</t>
        </is>
      </c>
      <c r="AZ3" s="5" t="n"/>
      <c r="BA3" s="6" t="n"/>
      <c r="BB3" s="4" t="inlineStr">
        <is>
          <t>HORA 17:36:00</t>
        </is>
      </c>
      <c r="BC3" s="5" t="n"/>
      <c r="BD3" s="6" t="n"/>
      <c r="BE3" s="4" t="inlineStr">
        <is>
          <t>HORA 18:11:00</t>
        </is>
      </c>
      <c r="BF3" s="5" t="n"/>
      <c r="BG3" s="6" t="n"/>
      <c r="BH3" s="4" t="inlineStr">
        <is>
          <t>HORA 18:17:00</t>
        </is>
      </c>
      <c r="BI3" s="5" t="n"/>
      <c r="BJ3" s="6" t="n"/>
      <c r="BK3" s="4" t="inlineStr">
        <is>
          <t>HORA 19:05:00</t>
        </is>
      </c>
      <c r="BL3" s="5" t="n"/>
      <c r="BM3" s="6" t="n"/>
      <c r="BN3" s="4" t="inlineStr">
        <is>
          <t>HORA 2025-11-02 19:09:27</t>
        </is>
      </c>
      <c r="BO3" s="5" t="n"/>
      <c r="BP3" s="6" t="n"/>
    </row>
    <row r="4">
      <c r="A4" s="7" t="n"/>
      <c r="B4" s="7" t="n"/>
      <c r="C4" s="8" t="inlineStr">
        <is>
          <t>GEN.ACTUAL</t>
        </is>
      </c>
      <c r="D4" s="8" t="inlineStr">
        <is>
          <t>MONTO</t>
        </is>
      </c>
      <c r="E4" s="8" t="inlineStr">
        <is>
          <t>CONSIGNA</t>
        </is>
      </c>
      <c r="F4" s="8" t="inlineStr">
        <is>
          <t>GEN.ACTUAL</t>
        </is>
      </c>
      <c r="G4" s="8" t="inlineStr">
        <is>
          <t>MONTO</t>
        </is>
      </c>
      <c r="H4" s="8" t="inlineStr">
        <is>
          <t>CONSIGNA</t>
        </is>
      </c>
      <c r="I4" s="8" t="inlineStr">
        <is>
          <t>GEN.ACTUAL</t>
        </is>
      </c>
      <c r="J4" s="8" t="inlineStr">
        <is>
          <t>MONTO</t>
        </is>
      </c>
      <c r="K4" s="8" t="inlineStr">
        <is>
          <t>CONSIGNA</t>
        </is>
      </c>
      <c r="L4" s="8" t="inlineStr">
        <is>
          <t>GEN.ACTUAL</t>
        </is>
      </c>
      <c r="M4" s="8" t="inlineStr">
        <is>
          <t>MONTO</t>
        </is>
      </c>
      <c r="N4" s="8" t="inlineStr">
        <is>
          <t>CONSIGNA</t>
        </is>
      </c>
      <c r="O4" s="8" t="inlineStr">
        <is>
          <t>GEN.ACTUAL</t>
        </is>
      </c>
      <c r="P4" s="8" t="inlineStr">
        <is>
          <t>MONTO</t>
        </is>
      </c>
      <c r="Q4" s="8" t="inlineStr">
        <is>
          <t>CONSIGNA</t>
        </is>
      </c>
      <c r="R4" s="8" t="inlineStr">
        <is>
          <t>GEN.ACTUAL</t>
        </is>
      </c>
      <c r="S4" s="8" t="inlineStr">
        <is>
          <t>MONTO</t>
        </is>
      </c>
      <c r="T4" s="8" t="inlineStr">
        <is>
          <t>CONSIGNA</t>
        </is>
      </c>
      <c r="U4" s="8" t="inlineStr">
        <is>
          <t>GEN.ACTUAL</t>
        </is>
      </c>
      <c r="V4" s="8" t="inlineStr">
        <is>
          <t>MONTO</t>
        </is>
      </c>
      <c r="W4" s="8" t="inlineStr">
        <is>
          <t>CONSIGNA</t>
        </is>
      </c>
      <c r="X4" s="8" t="inlineStr">
        <is>
          <t>GEN.ACTUAL</t>
        </is>
      </c>
      <c r="Y4" s="8" t="inlineStr">
        <is>
          <t>MONTO</t>
        </is>
      </c>
      <c r="Z4" s="8" t="inlineStr">
        <is>
          <t>CONSIGNA</t>
        </is>
      </c>
      <c r="AA4" s="8" t="inlineStr">
        <is>
          <t>GEN.ACTUAL</t>
        </is>
      </c>
      <c r="AB4" s="8" t="inlineStr">
        <is>
          <t>MONTO</t>
        </is>
      </c>
      <c r="AC4" s="8" t="inlineStr">
        <is>
          <t>CONSIGNA</t>
        </is>
      </c>
      <c r="AD4" s="8" t="inlineStr">
        <is>
          <t>GEN.ACTUAL</t>
        </is>
      </c>
      <c r="AE4" s="8" t="inlineStr">
        <is>
          <t>MONTO</t>
        </is>
      </c>
      <c r="AF4" s="8" t="inlineStr">
        <is>
          <t>CONSIGNA</t>
        </is>
      </c>
      <c r="AG4" s="8" t="inlineStr">
        <is>
          <t>GEN.ACTUAL</t>
        </is>
      </c>
      <c r="AH4" s="8" t="inlineStr">
        <is>
          <t>MONTO</t>
        </is>
      </c>
      <c r="AI4" s="8" t="inlineStr">
        <is>
          <t>CONSIGNA</t>
        </is>
      </c>
      <c r="AJ4" s="8" t="inlineStr">
        <is>
          <t>GEN.ACTUAL</t>
        </is>
      </c>
      <c r="AK4" s="8" t="inlineStr">
        <is>
          <t>MONTO</t>
        </is>
      </c>
      <c r="AL4" s="8" t="inlineStr">
        <is>
          <t>CONSIGNA</t>
        </is>
      </c>
      <c r="AM4" s="8" t="inlineStr">
        <is>
          <t>GEN.ACTUAL</t>
        </is>
      </c>
      <c r="AN4" s="8" t="inlineStr">
        <is>
          <t>MONTO</t>
        </is>
      </c>
      <c r="AO4" s="8" t="inlineStr">
        <is>
          <t>CONSIGNA</t>
        </is>
      </c>
      <c r="AP4" s="8" t="inlineStr">
        <is>
          <t>GEN.ACTUAL</t>
        </is>
      </c>
      <c r="AQ4" s="8" t="inlineStr">
        <is>
          <t>MONTO</t>
        </is>
      </c>
      <c r="AR4" s="8" t="inlineStr">
        <is>
          <t>CONSIGNA</t>
        </is>
      </c>
      <c r="AS4" s="8" t="inlineStr">
        <is>
          <t>GEN.ACTUAL</t>
        </is>
      </c>
      <c r="AT4" s="8" t="inlineStr">
        <is>
          <t>MONTO</t>
        </is>
      </c>
      <c r="AU4" s="8" t="inlineStr">
        <is>
          <t>CONSIGNA</t>
        </is>
      </c>
      <c r="AV4" s="8" t="inlineStr">
        <is>
          <t>GEN.ACTUAL</t>
        </is>
      </c>
      <c r="AW4" s="8" t="inlineStr">
        <is>
          <t>MONTO</t>
        </is>
      </c>
      <c r="AX4" s="8" t="inlineStr">
        <is>
          <t>CONSIGNA</t>
        </is>
      </c>
      <c r="AY4" s="8" t="inlineStr">
        <is>
          <t>GEN.ACTUAL</t>
        </is>
      </c>
      <c r="AZ4" s="8" t="inlineStr">
        <is>
          <t>MONTO</t>
        </is>
      </c>
      <c r="BA4" s="8" t="inlineStr">
        <is>
          <t>CONSIGNA</t>
        </is>
      </c>
      <c r="BB4" s="8" t="inlineStr">
        <is>
          <t>GEN.ACTUAL</t>
        </is>
      </c>
      <c r="BC4" s="8" t="inlineStr">
        <is>
          <t>MONTO</t>
        </is>
      </c>
      <c r="BD4" s="8" t="inlineStr">
        <is>
          <t>CONSIGNA</t>
        </is>
      </c>
      <c r="BE4" s="8" t="inlineStr">
        <is>
          <t>GEN.ACTUAL</t>
        </is>
      </c>
      <c r="BF4" s="8" t="inlineStr">
        <is>
          <t>MONTO</t>
        </is>
      </c>
      <c r="BG4" s="8" t="inlineStr">
        <is>
          <t>CONSIGNA</t>
        </is>
      </c>
      <c r="BH4" s="8" t="inlineStr">
        <is>
          <t>GEN.ACTUAL</t>
        </is>
      </c>
      <c r="BI4" s="8" t="inlineStr">
        <is>
          <t>MONTO</t>
        </is>
      </c>
      <c r="BJ4" s="8" t="inlineStr">
        <is>
          <t>CONSIGNA</t>
        </is>
      </c>
      <c r="BK4" s="8" t="inlineStr">
        <is>
          <t>GEN.ACTUAL</t>
        </is>
      </c>
      <c r="BL4" s="8" t="inlineStr">
        <is>
          <t>MONTO</t>
        </is>
      </c>
      <c r="BM4" s="8" t="inlineStr">
        <is>
          <t>CONSIGNA</t>
        </is>
      </c>
      <c r="BN4" s="8" t="inlineStr">
        <is>
          <t>CONSIGNA</t>
        </is>
      </c>
    </row>
    <row r="5">
      <c r="A5" s="9" t="n">
        <v>45963</v>
      </c>
      <c r="B5" s="10" t="inlineStr">
        <is>
          <t>PFV-ELPELICANO</t>
        </is>
      </c>
      <c r="C5" s="11" t="n">
        <v>10</v>
      </c>
      <c r="D5" s="12" t="n">
        <v>0</v>
      </c>
      <c r="E5" s="13" t="n">
        <v>9.9</v>
      </c>
      <c r="F5" s="11" t="n">
        <v>10</v>
      </c>
      <c r="G5" s="12" t="n">
        <v>12</v>
      </c>
      <c r="H5" s="13" t="n">
        <v>22</v>
      </c>
      <c r="I5" s="11" t="n">
        <v>22</v>
      </c>
      <c r="J5" s="12" t="n">
        <v>-8</v>
      </c>
      <c r="K5" s="13" t="n">
        <v>14.5</v>
      </c>
      <c r="L5" s="11" t="n">
        <v>15</v>
      </c>
      <c r="M5" s="12" t="n">
        <v>3</v>
      </c>
      <c r="N5" s="13" t="n">
        <v>17.7</v>
      </c>
      <c r="O5" s="11" t="n">
        <v>18</v>
      </c>
      <c r="P5" s="12" t="n">
        <v>2</v>
      </c>
      <c r="Q5" s="13" t="n">
        <v>20.5</v>
      </c>
      <c r="R5" s="11" t="n">
        <v>21</v>
      </c>
      <c r="S5" s="12" t="n">
        <v>3</v>
      </c>
      <c r="T5" s="13" t="n">
        <v>24.5</v>
      </c>
      <c r="U5" s="11" t="n">
        <v>25</v>
      </c>
      <c r="V5" s="12" t="n">
        <v>3</v>
      </c>
      <c r="W5" s="13" t="n">
        <v>28.4</v>
      </c>
      <c r="X5" s="11" t="n">
        <v>28</v>
      </c>
      <c r="Y5" s="12" t="n">
        <v>3</v>
      </c>
      <c r="Z5" s="13" t="n">
        <v>31.3</v>
      </c>
      <c r="AA5" s="11" t="n">
        <v>31</v>
      </c>
      <c r="AB5" s="12" t="n">
        <v>10</v>
      </c>
      <c r="AC5" s="13" t="n">
        <v>41.4</v>
      </c>
      <c r="AD5" s="11" t="n">
        <v>41</v>
      </c>
      <c r="AE5" s="12" t="n">
        <v>-4</v>
      </c>
      <c r="AF5" s="13" t="n">
        <v>36.7</v>
      </c>
      <c r="AG5" s="11" t="n">
        <v>37</v>
      </c>
      <c r="AH5" s="12" t="n">
        <v>3</v>
      </c>
      <c r="AI5" s="13" t="n">
        <v>40</v>
      </c>
      <c r="AJ5" s="11" t="n">
        <v>40</v>
      </c>
      <c r="AK5" s="12" t="n">
        <v>-0</v>
      </c>
      <c r="AL5" s="13" t="n">
        <v>39.9</v>
      </c>
      <c r="AM5" s="11" t="n">
        <v>40</v>
      </c>
      <c r="AN5" s="12" t="n">
        <v>3</v>
      </c>
      <c r="AO5" s="13" t="n">
        <v>43.4</v>
      </c>
      <c r="AP5" s="11" t="n">
        <v>43</v>
      </c>
      <c r="AQ5" s="12" t="n">
        <v>-1</v>
      </c>
      <c r="AR5" s="13" t="n">
        <v>42.2</v>
      </c>
      <c r="AS5" s="11" t="n">
        <v>42</v>
      </c>
      <c r="AT5" s="12" t="n">
        <v>-6</v>
      </c>
      <c r="AU5" s="13" t="n">
        <v>35.7</v>
      </c>
      <c r="AV5" s="11" t="n">
        <v>36</v>
      </c>
      <c r="AW5" s="12" t="n">
        <v>-4</v>
      </c>
      <c r="AX5" s="13" t="n">
        <v>32.3</v>
      </c>
      <c r="AY5" s="11" t="n">
        <v>36</v>
      </c>
      <c r="AZ5" s="12" t="n">
        <v>-7</v>
      </c>
      <c r="BA5" s="13" t="n">
        <v>29.3</v>
      </c>
      <c r="BB5" s="11" t="n">
        <v>29</v>
      </c>
      <c r="BC5" s="12" t="n">
        <v>-4</v>
      </c>
      <c r="BD5" s="13" t="n">
        <v>25.2</v>
      </c>
      <c r="BE5" s="11" t="n">
        <v>25</v>
      </c>
      <c r="BF5" s="12" t="n">
        <v>4</v>
      </c>
      <c r="BG5" s="13" t="n">
        <v>28.7</v>
      </c>
      <c r="BH5" s="11" t="n">
        <v>29</v>
      </c>
      <c r="BI5" s="12" t="n">
        <v>7</v>
      </c>
      <c r="BJ5" s="13" t="n">
        <v>36.2</v>
      </c>
      <c r="BK5" s="11" t="n">
        <v>34</v>
      </c>
      <c r="BL5" s="12" t="n">
        <v>1</v>
      </c>
      <c r="BM5" s="13" t="n">
        <v>35.1</v>
      </c>
      <c r="BN5" s="22" t="inlineStr">
        <is>
          <t>Finaliza prorrata: Prorrata Generalizada costo SEN 0</t>
        </is>
      </c>
    </row>
    <row r="6">
      <c r="A6" s="14" t="n">
        <v>45963</v>
      </c>
      <c r="B6" s="15" t="inlineStr">
        <is>
          <t>PFV-ELROMERO</t>
        </is>
      </c>
      <c r="C6" s="11" t="n">
        <v>2</v>
      </c>
      <c r="D6" s="12" t="n">
        <v>0</v>
      </c>
      <c r="E6" s="13" t="n">
        <v>4.5</v>
      </c>
      <c r="F6" s="11" t="n">
        <v>4</v>
      </c>
      <c r="G6" s="12" t="n">
        <v>19</v>
      </c>
      <c r="H6" s="13" t="n">
        <v>22.9</v>
      </c>
      <c r="I6" s="11" t="n">
        <v>4</v>
      </c>
      <c r="J6" s="12" t="n">
        <v>22</v>
      </c>
      <c r="K6" s="13" t="n">
        <v>25.8</v>
      </c>
      <c r="L6" s="11" t="n">
        <v>4</v>
      </c>
      <c r="M6" s="12" t="n">
        <v>28</v>
      </c>
      <c r="N6" s="13" t="n">
        <v>32</v>
      </c>
      <c r="O6" s="11" t="n">
        <v>8</v>
      </c>
      <c r="P6" s="12" t="n">
        <v>30</v>
      </c>
      <c r="Q6" s="13" t="n">
        <v>37.2</v>
      </c>
      <c r="R6" s="11" t="n">
        <v>36</v>
      </c>
      <c r="S6" s="12" t="n">
        <v>8</v>
      </c>
      <c r="T6" s="13" t="n">
        <v>44.3</v>
      </c>
      <c r="U6" s="11" t="n">
        <v>43</v>
      </c>
      <c r="V6" s="12" t="n">
        <v>9</v>
      </c>
      <c r="W6" s="13" t="n">
        <v>51.5</v>
      </c>
      <c r="X6" s="11" t="n">
        <v>43</v>
      </c>
      <c r="Y6" s="12" t="n">
        <v>14</v>
      </c>
      <c r="Z6" s="13" t="n">
        <v>56.8</v>
      </c>
      <c r="AA6" s="11" t="n">
        <v>105</v>
      </c>
      <c r="AB6" s="12" t="n">
        <v>-30</v>
      </c>
      <c r="AC6" s="13" t="n">
        <v>75.09999999999999</v>
      </c>
      <c r="AD6" s="11" t="n">
        <v>26</v>
      </c>
      <c r="AE6" s="12" t="n">
        <v>41</v>
      </c>
      <c r="AF6" s="13" t="n">
        <v>66.59999999999999</v>
      </c>
      <c r="AG6" s="11" t="n">
        <v>97</v>
      </c>
      <c r="AH6" s="12" t="n">
        <v>-25</v>
      </c>
      <c r="AI6" s="13" t="n">
        <v>72.5</v>
      </c>
      <c r="AJ6" s="11" t="n">
        <v>107</v>
      </c>
      <c r="AK6" s="12" t="n">
        <v>-35</v>
      </c>
      <c r="AL6" s="13" t="n">
        <v>72.40000000000001</v>
      </c>
      <c r="AM6" s="11" t="n">
        <v>108</v>
      </c>
      <c r="AN6" s="12" t="n">
        <v>-29</v>
      </c>
      <c r="AO6" s="13" t="n">
        <v>78.59999999999999</v>
      </c>
      <c r="AP6" s="11" t="n">
        <v>114</v>
      </c>
      <c r="AQ6" s="12" t="n">
        <v>-37</v>
      </c>
      <c r="AR6" s="13" t="n">
        <v>76.40000000000001</v>
      </c>
      <c r="AS6" s="11" t="n">
        <v>78</v>
      </c>
      <c r="AT6" s="12" t="n">
        <v>-2</v>
      </c>
      <c r="AU6" s="13" t="n">
        <v>76.40000000000001</v>
      </c>
      <c r="AV6" s="11" t="n">
        <v>75</v>
      </c>
      <c r="AW6" s="12" t="n">
        <v>-15</v>
      </c>
      <c r="AX6" s="13" t="n">
        <v>59.4</v>
      </c>
      <c r="AY6" s="11" t="n">
        <v>58</v>
      </c>
      <c r="AZ6" s="12" t="n">
        <v>-5</v>
      </c>
      <c r="BA6" s="13" t="n">
        <v>53.1</v>
      </c>
      <c r="BB6" s="11" t="n">
        <v>52</v>
      </c>
      <c r="BC6" s="12" t="n">
        <v>-6</v>
      </c>
      <c r="BD6" s="13" t="n">
        <v>45.6</v>
      </c>
      <c r="BE6" s="11" t="n">
        <v>45</v>
      </c>
      <c r="BF6" s="12" t="n">
        <v>7</v>
      </c>
      <c r="BG6" s="13" t="n">
        <v>52</v>
      </c>
      <c r="BH6" s="11" t="n">
        <v>45</v>
      </c>
      <c r="BI6" s="12" t="n">
        <v>12</v>
      </c>
      <c r="BJ6" s="13" t="n">
        <v>57.2</v>
      </c>
      <c r="BK6" s="11" t="n">
        <v>11</v>
      </c>
      <c r="BL6" s="12" t="n">
        <v>7</v>
      </c>
      <c r="BM6" s="13" t="n">
        <v>18.3</v>
      </c>
      <c r="BN6" s="22" t="inlineStr">
        <is>
          <t>Finaliza prorrata: Prorrata Generalizada costo SEN 0</t>
        </is>
      </c>
    </row>
    <row r="7">
      <c r="A7" s="9" t="n">
        <v>45963</v>
      </c>
      <c r="B7" s="10" t="inlineStr">
        <is>
          <t>PFV-LAHUELLA</t>
        </is>
      </c>
      <c r="C7" s="11" t="n">
        <v>7</v>
      </c>
      <c r="D7" s="12" t="n">
        <v>0</v>
      </c>
      <c r="E7" s="13" t="n">
        <v>7.2</v>
      </c>
      <c r="F7" s="11" t="n">
        <v>7</v>
      </c>
      <c r="G7" s="12" t="n">
        <v>10</v>
      </c>
      <c r="H7" s="13" t="n">
        <v>17.4</v>
      </c>
      <c r="I7" s="11" t="n">
        <v>7</v>
      </c>
      <c r="J7" s="12" t="n">
        <v>4</v>
      </c>
      <c r="K7" s="13" t="n">
        <v>11.4</v>
      </c>
      <c r="L7" s="11" t="n">
        <v>11</v>
      </c>
      <c r="M7" s="12" t="n">
        <v>3</v>
      </c>
      <c r="N7" s="13" t="n">
        <v>13.9</v>
      </c>
      <c r="O7" s="11" t="n">
        <v>11</v>
      </c>
      <c r="P7" s="12" t="n">
        <v>5</v>
      </c>
      <c r="Q7" s="13" t="n">
        <v>16.1</v>
      </c>
      <c r="R7" s="11" t="n">
        <v>16</v>
      </c>
      <c r="S7" s="12" t="n">
        <v>3</v>
      </c>
      <c r="T7" s="13" t="n">
        <v>19.2</v>
      </c>
      <c r="U7" s="11" t="n">
        <v>19</v>
      </c>
      <c r="V7" s="12" t="n">
        <v>3</v>
      </c>
      <c r="W7" s="13" t="n">
        <v>22.3</v>
      </c>
      <c r="X7" s="11" t="n">
        <v>22</v>
      </c>
      <c r="Y7" s="12" t="n">
        <v>3</v>
      </c>
      <c r="Z7" s="13" t="n">
        <v>24.6</v>
      </c>
      <c r="AA7" s="11" t="n">
        <v>25</v>
      </c>
      <c r="AB7" s="12" t="n">
        <v>8</v>
      </c>
      <c r="AC7" s="13" t="n">
        <v>32.6</v>
      </c>
      <c r="AD7" s="11" t="n">
        <v>33</v>
      </c>
      <c r="AE7" s="12" t="n">
        <v>-4</v>
      </c>
      <c r="AF7" s="13" t="n">
        <v>28.9</v>
      </c>
      <c r="AG7" s="11" t="n">
        <v>29</v>
      </c>
      <c r="AH7" s="12" t="n">
        <v>2</v>
      </c>
      <c r="AI7" s="13" t="n">
        <v>31.5</v>
      </c>
      <c r="AJ7" s="11" t="n">
        <v>32</v>
      </c>
      <c r="AK7" s="12" t="n">
        <v>-1</v>
      </c>
      <c r="AL7" s="13" t="n">
        <v>31.4</v>
      </c>
      <c r="AM7" s="11" t="n">
        <v>32</v>
      </c>
      <c r="AN7" s="12" t="n">
        <v>2</v>
      </c>
      <c r="AO7" s="13" t="n">
        <v>34.1</v>
      </c>
      <c r="AP7" s="11" t="n">
        <v>34</v>
      </c>
      <c r="AQ7" s="12" t="n">
        <v>-1</v>
      </c>
      <c r="AR7" s="13" t="n">
        <v>33.2</v>
      </c>
      <c r="AS7" s="11" t="n">
        <v>33</v>
      </c>
      <c r="AT7" s="12" t="n">
        <v>-5</v>
      </c>
      <c r="AU7" s="13" t="n">
        <v>28.1</v>
      </c>
      <c r="AV7" s="11" t="n">
        <v>28</v>
      </c>
      <c r="AW7" s="12" t="n">
        <v>-3</v>
      </c>
      <c r="AX7" s="13" t="n">
        <v>25.4</v>
      </c>
      <c r="AY7" s="11" t="n">
        <v>28</v>
      </c>
      <c r="AZ7" s="12" t="n">
        <v>-5</v>
      </c>
      <c r="BA7" s="13" t="n">
        <v>23</v>
      </c>
      <c r="BB7" s="11" t="n">
        <v>23</v>
      </c>
      <c r="BC7" s="12" t="n">
        <v>-3</v>
      </c>
      <c r="BD7" s="13" t="n">
        <v>19.8</v>
      </c>
      <c r="BE7" s="11" t="n">
        <v>20</v>
      </c>
      <c r="BF7" s="12" t="n">
        <v>2</v>
      </c>
      <c r="BG7" s="13" t="n">
        <v>22.5</v>
      </c>
      <c r="BH7" s="11" t="n">
        <v>20</v>
      </c>
      <c r="BI7" s="12" t="n">
        <v>8</v>
      </c>
      <c r="BJ7" s="13" t="n">
        <v>28.5</v>
      </c>
      <c r="BK7" s="11" t="n">
        <v>25</v>
      </c>
      <c r="BL7" s="12" t="n">
        <v>4</v>
      </c>
      <c r="BM7" s="13" t="n">
        <v>29.2</v>
      </c>
      <c r="BN7" s="22" t="inlineStr">
        <is>
          <t>Finaliza prorrata: Prorrata Generalizada costo SEN 0</t>
        </is>
      </c>
    </row>
    <row r="10">
      <c r="E10" s="16" t="inlineStr">
        <is>
          <t>suma total</t>
        </is>
      </c>
      <c r="F10" s="17" t="inlineStr">
        <is>
          <t>GEN.ACTUAL</t>
        </is>
      </c>
      <c r="G10" s="17" t="inlineStr">
        <is>
          <t>MONTO</t>
        </is>
      </c>
      <c r="H10" s="17" t="inlineStr">
        <is>
          <t>CONSIGNA</t>
        </is>
      </c>
    </row>
    <row r="11">
      <c r="E11" s="18" t="inlineStr">
        <is>
          <t>PFV-ELPELICANO</t>
        </is>
      </c>
      <c r="F11" s="19">
        <f>SUM(C5,F5,I5,L5,O5,R5,U5,X5,AA5,AD5,AG5,AJ5,AM5,AP5,AS5,AV5,AY5,BB5,BE5,BH5,BK5)</f>
        <v/>
      </c>
      <c r="G11" s="20">
        <f>SUM(D5,G5,J5,M5,P5,S5,V5,Y5,AB5,AE5,AH5,AK5,AN5,AQ5,AT5,AW5,AZ5,BC5,BF5,BI5,BL5)</f>
        <v/>
      </c>
      <c r="H11" s="21">
        <f>SUM(E5,H5,K5,N5,Q5,T5,W5,Z5,AC5,AF5,AI5,AL5,AO5,AR5,AU5,AX5,BA5,BD5,BG5,BJ5,BM5,BN5)</f>
        <v/>
      </c>
    </row>
    <row r="12">
      <c r="E12" s="18" t="inlineStr">
        <is>
          <t>PFV-ELROMERO</t>
        </is>
      </c>
      <c r="F12" s="19">
        <f>SUM(C6,F6,I6,L6,O6,R6,U6,X6,AA6,AD6,AG6,AJ6,AM6,AP6,AS6,AV6,AY6,BB6,BE6,BH6,BK6)</f>
        <v/>
      </c>
      <c r="G12" s="20">
        <f>SUM(D6,G6,J6,M6,P6,S6,V6,Y6,AB6,AE6,AH6,AK6,AN6,AQ6,AT6,AW6,AZ6,BC6,BF6,BI6,BL6)</f>
        <v/>
      </c>
      <c r="H12" s="21">
        <f>SUM(E6,H6,K6,N6,Q6,T6,W6,Z6,AC6,AF6,AI6,AL6,AO6,AR6,AU6,AX6,BA6,BD6,BG6,BJ6,BM6,BN6)</f>
        <v/>
      </c>
    </row>
    <row r="13">
      <c r="E13" s="18" t="inlineStr">
        <is>
          <t>PFV-LAHUELLA</t>
        </is>
      </c>
      <c r="F13" s="19">
        <f>SUM(C7,F7,I7,L7,O7,R7,U7,X7,AA7,AD7,AG7,AJ7,AM7,AP7,AS7,AV7,AY7,BB7,BE7,BH7,BK7)</f>
        <v/>
      </c>
      <c r="G13" s="20">
        <f>SUM(D7,G7,J7,M7,P7,S7,V7,Y7,AB7,AE7,AH7,AK7,AN7,AQ7,AT7,AW7,AZ7,BC7,BF7,BI7,BL7)</f>
        <v/>
      </c>
      <c r="H13" s="21">
        <f>SUM(E7,H7,K7,N7,Q7,T7,W7,Z7,AC7,AF7,AI7,AL7,AO7,AR7,AU7,AX7,BA7,BD7,BG7,BJ7,BM7,BN7)</f>
        <v/>
      </c>
    </row>
    <row r="114">
      <c r="C114" t="inlineStr">
        <is>
          <t>07:20</t>
        </is>
      </c>
      <c r="D114" t="inlineStr">
        <is>
          <t>07:42</t>
        </is>
      </c>
      <c r="E114" t="inlineStr">
        <is>
          <t>07:46</t>
        </is>
      </c>
      <c r="F114" t="inlineStr">
        <is>
          <t>08:09</t>
        </is>
      </c>
      <c r="G114" t="inlineStr">
        <is>
          <t>08:15</t>
        </is>
      </c>
      <c r="H114" t="inlineStr">
        <is>
          <t>08:37</t>
        </is>
      </c>
      <c r="I114" t="inlineStr">
        <is>
          <t>09:18</t>
        </is>
      </c>
      <c r="J114" t="inlineStr">
        <is>
          <t>09:44</t>
        </is>
      </c>
      <c r="K114" t="inlineStr">
        <is>
          <t>10:46</t>
        </is>
      </c>
      <c r="L114" t="inlineStr">
        <is>
          <t>11:08</t>
        </is>
      </c>
      <c r="M114" t="inlineStr">
        <is>
          <t>11:47</t>
        </is>
      </c>
      <c r="N114" t="inlineStr">
        <is>
          <t>12:26</t>
        </is>
      </c>
      <c r="O114" t="inlineStr">
        <is>
          <t>12:32</t>
        </is>
      </c>
      <c r="P114" t="inlineStr">
        <is>
          <t>13:20</t>
        </is>
      </c>
      <c r="Q114" t="inlineStr">
        <is>
          <t>16:05</t>
        </is>
      </c>
      <c r="R114" t="inlineStr">
        <is>
          <t>16:43</t>
        </is>
      </c>
      <c r="S114" t="inlineStr">
        <is>
          <t>16:53</t>
        </is>
      </c>
      <c r="T114" t="inlineStr">
        <is>
          <t>17:36</t>
        </is>
      </c>
      <c r="U114" t="inlineStr">
        <is>
          <t>18:11</t>
        </is>
      </c>
      <c r="V114" t="inlineStr">
        <is>
          <t>18:17</t>
        </is>
      </c>
      <c r="W114" t="inlineStr">
        <is>
          <t>19:05</t>
        </is>
      </c>
      <c r="X114" t="inlineStr">
        <is>
          <t>19:09</t>
        </is>
      </c>
    </row>
    <row r="115">
      <c r="C115" t="n">
        <v>10</v>
      </c>
      <c r="D115" t="n">
        <v>10</v>
      </c>
      <c r="E115" t="n">
        <v>22</v>
      </c>
      <c r="F115" t="n">
        <v>15</v>
      </c>
      <c r="G115" t="n">
        <v>18</v>
      </c>
      <c r="H115" t="n">
        <v>21</v>
      </c>
      <c r="I115" t="n">
        <v>25</v>
      </c>
      <c r="J115" t="n">
        <v>28</v>
      </c>
      <c r="K115" t="n">
        <v>31</v>
      </c>
      <c r="L115" t="n">
        <v>41</v>
      </c>
      <c r="M115" t="n">
        <v>37</v>
      </c>
      <c r="N115" t="n">
        <v>40</v>
      </c>
      <c r="O115" t="n">
        <v>40</v>
      </c>
      <c r="P115" t="n">
        <v>43</v>
      </c>
      <c r="Q115" t="n">
        <v>42</v>
      </c>
      <c r="R115" t="n">
        <v>36</v>
      </c>
      <c r="S115" t="n">
        <v>36</v>
      </c>
      <c r="T115" t="n">
        <v>29</v>
      </c>
      <c r="U115" t="n">
        <v>25</v>
      </c>
      <c r="V115" t="n">
        <v>29</v>
      </c>
      <c r="W115" t="n">
        <v>34</v>
      </c>
      <c r="X115" t="inlineStr">
        <is>
          <t>Finaliza prorrata: Prorrata Generalizada costo SEN 0</t>
        </is>
      </c>
    </row>
    <row r="116">
      <c r="C116" t="n">
        <v>2</v>
      </c>
      <c r="D116" t="n">
        <v>4</v>
      </c>
      <c r="E116" t="n">
        <v>4</v>
      </c>
      <c r="F116" t="n">
        <v>4</v>
      </c>
      <c r="G116" t="n">
        <v>8</v>
      </c>
      <c r="H116" t="n">
        <v>36</v>
      </c>
      <c r="I116" t="n">
        <v>43</v>
      </c>
      <c r="J116" t="n">
        <v>43</v>
      </c>
      <c r="K116" t="n">
        <v>105</v>
      </c>
      <c r="L116" t="n">
        <v>26</v>
      </c>
      <c r="M116" t="n">
        <v>97</v>
      </c>
      <c r="N116" t="n">
        <v>107</v>
      </c>
      <c r="O116" t="n">
        <v>108</v>
      </c>
      <c r="P116" t="n">
        <v>114</v>
      </c>
      <c r="Q116" t="n">
        <v>78</v>
      </c>
      <c r="R116" t="n">
        <v>75</v>
      </c>
      <c r="S116" t="n">
        <v>58</v>
      </c>
      <c r="T116" t="n">
        <v>52</v>
      </c>
      <c r="U116" t="n">
        <v>45</v>
      </c>
      <c r="V116" t="n">
        <v>45</v>
      </c>
      <c r="W116" t="n">
        <v>11</v>
      </c>
      <c r="X116" t="inlineStr">
        <is>
          <t>Finaliza prorrata: Prorrata Generalizada costo SEN 0</t>
        </is>
      </c>
    </row>
    <row r="117">
      <c r="C117" t="n">
        <v>7</v>
      </c>
      <c r="D117" t="n">
        <v>7</v>
      </c>
      <c r="E117" t="n">
        <v>7</v>
      </c>
      <c r="F117" t="n">
        <v>11</v>
      </c>
      <c r="G117" t="n">
        <v>11</v>
      </c>
      <c r="H117" t="n">
        <v>16</v>
      </c>
      <c r="I117" t="n">
        <v>19</v>
      </c>
      <c r="J117" t="n">
        <v>22</v>
      </c>
      <c r="K117" t="n">
        <v>25</v>
      </c>
      <c r="L117" t="n">
        <v>33</v>
      </c>
      <c r="M117" t="n">
        <v>29</v>
      </c>
      <c r="N117" t="n">
        <v>32</v>
      </c>
      <c r="O117" t="n">
        <v>32</v>
      </c>
      <c r="P117" t="n">
        <v>34</v>
      </c>
      <c r="Q117" t="n">
        <v>33</v>
      </c>
      <c r="R117" t="n">
        <v>28</v>
      </c>
      <c r="S117" t="n">
        <v>28</v>
      </c>
      <c r="T117" t="n">
        <v>23</v>
      </c>
      <c r="U117" t="n">
        <v>20</v>
      </c>
      <c r="V117" t="n">
        <v>20</v>
      </c>
      <c r="W117" t="n">
        <v>25</v>
      </c>
      <c r="X117" t="inlineStr">
        <is>
          <t>Finaliza prorrata: Prorrata Generalizada costo SEN 0</t>
        </is>
      </c>
    </row>
  </sheetData>
  <mergeCells count="24">
    <mergeCell ref="BN3:BP3"/>
    <mergeCell ref="B3:B4"/>
    <mergeCell ref="X3:Z3"/>
    <mergeCell ref="AJ3:AL3"/>
    <mergeCell ref="I3:K3"/>
    <mergeCell ref="U3:W3"/>
    <mergeCell ref="BK3:BM3"/>
    <mergeCell ref="R3:T3"/>
    <mergeCell ref="A3:A4"/>
    <mergeCell ref="AG3:AI3"/>
    <mergeCell ref="AA3:AC3"/>
    <mergeCell ref="AM3:AO3"/>
    <mergeCell ref="AS3:AU3"/>
    <mergeCell ref="C3:E3"/>
    <mergeCell ref="AD3:AF3"/>
    <mergeCell ref="AY3:BA3"/>
    <mergeCell ref="BE3:BG3"/>
    <mergeCell ref="AP3:AR3"/>
    <mergeCell ref="O3:Q3"/>
    <mergeCell ref="BB3:BD3"/>
    <mergeCell ref="AV3:AX3"/>
    <mergeCell ref="F3:H3"/>
    <mergeCell ref="L3:N3"/>
    <mergeCell ref="BH3:BJ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 ht="2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</row>
    <row r="2" ht="27" customHeight="1">
      <c r="A2" s="2" t="n"/>
    </row>
    <row r="3">
      <c r="A3" s="3" t="inlineStr">
        <is>
          <t>FECHA</t>
        </is>
      </c>
      <c r="B3" s="4" t="inlineStr">
        <is>
          <t>GENERADORA</t>
        </is>
      </c>
      <c r="C3" s="4" t="inlineStr">
        <is>
          <t>HORA 07:28:00</t>
        </is>
      </c>
      <c r="D3" s="5" t="n"/>
      <c r="E3" s="6" t="n"/>
      <c r="F3" s="4" t="inlineStr">
        <is>
          <t>HORA 07:40:00</t>
        </is>
      </c>
      <c r="G3" s="5" t="n"/>
      <c r="H3" s="6" t="n"/>
      <c r="I3" s="4" t="inlineStr">
        <is>
          <t>HORA 07:44:00</t>
        </is>
      </c>
      <c r="J3" s="5" t="n"/>
      <c r="K3" s="6" t="n"/>
      <c r="L3" s="4" t="inlineStr">
        <is>
          <t>HORA 07:59:00</t>
        </is>
      </c>
      <c r="M3" s="5" t="n"/>
      <c r="N3" s="6" t="n"/>
      <c r="O3" s="4" t="inlineStr">
        <is>
          <t>HORA 08:03:00</t>
        </is>
      </c>
      <c r="P3" s="5" t="n"/>
      <c r="Q3" s="6" t="n"/>
      <c r="R3" s="4" t="inlineStr">
        <is>
          <t>HORA 08:19:00</t>
        </is>
      </c>
      <c r="S3" s="5" t="n"/>
      <c r="T3" s="6" t="n"/>
      <c r="U3" s="4" t="inlineStr">
        <is>
          <t>HORA 08:46:00</t>
        </is>
      </c>
      <c r="V3" s="5" t="n"/>
      <c r="W3" s="6" t="n"/>
      <c r="X3" s="4" t="inlineStr">
        <is>
          <t>HORA 09:17:00</t>
        </is>
      </c>
      <c r="Y3" s="5" t="n"/>
      <c r="Z3" s="6" t="n"/>
      <c r="AA3" s="4" t="inlineStr">
        <is>
          <t>HORA 09:29:00</t>
        </is>
      </c>
      <c r="AB3" s="5" t="n"/>
      <c r="AC3" s="6" t="n"/>
      <c r="AD3" s="4" t="inlineStr">
        <is>
          <t>HORA 11:59:00</t>
        </is>
      </c>
      <c r="AE3" s="5" t="n"/>
      <c r="AF3" s="6" t="n"/>
      <c r="AG3" s="4" t="inlineStr">
        <is>
          <t>HORA 12:13:00</t>
        </is>
      </c>
      <c r="AH3" s="5" t="n"/>
      <c r="AI3" s="6" t="n"/>
      <c r="AJ3" s="4" t="inlineStr">
        <is>
          <t>HORA 12:36:00</t>
        </is>
      </c>
      <c r="AK3" s="5" t="n"/>
      <c r="AL3" s="6" t="n"/>
      <c r="AM3" s="4" t="inlineStr">
        <is>
          <t>HORA 12:51:00</t>
        </is>
      </c>
      <c r="AN3" s="5" t="n"/>
      <c r="AO3" s="6" t="n"/>
      <c r="AP3" s="4" t="inlineStr">
        <is>
          <t>HORA 12:57:00</t>
        </is>
      </c>
      <c r="AQ3" s="5" t="n"/>
      <c r="AR3" s="6" t="n"/>
      <c r="AS3" s="4" t="inlineStr">
        <is>
          <t>HORA 13:05:00</t>
        </is>
      </c>
      <c r="AT3" s="5" t="n"/>
      <c r="AU3" s="6" t="n"/>
      <c r="AV3" s="4" t="inlineStr">
        <is>
          <t>HORA 13:25:00</t>
        </is>
      </c>
      <c r="AW3" s="5" t="n"/>
      <c r="AX3" s="6" t="n"/>
      <c r="AY3" s="4" t="inlineStr">
        <is>
          <t>HORA 14:53:00</t>
        </is>
      </c>
      <c r="AZ3" s="5" t="n"/>
      <c r="BA3" s="6" t="n"/>
      <c r="BB3" s="4" t="inlineStr">
        <is>
          <t>HORA 15:36:00</t>
        </is>
      </c>
      <c r="BC3" s="5" t="n"/>
      <c r="BD3" s="6" t="n"/>
      <c r="BE3" s="4" t="inlineStr">
        <is>
          <t>HORA 15:55:00</t>
        </is>
      </c>
      <c r="BF3" s="5" t="n"/>
      <c r="BG3" s="6" t="n"/>
      <c r="BH3" s="4" t="inlineStr">
        <is>
          <t>HORA 16:14:00</t>
        </is>
      </c>
      <c r="BI3" s="5" t="n"/>
      <c r="BJ3" s="6" t="n"/>
      <c r="BK3" s="4" t="inlineStr">
        <is>
          <t>HORA 16:49:00</t>
        </is>
      </c>
      <c r="BL3" s="5" t="n"/>
      <c r="BM3" s="6" t="n"/>
      <c r="BN3" s="4" t="inlineStr">
        <is>
          <t>HORA 17:06:00</t>
        </is>
      </c>
      <c r="BO3" s="5" t="n"/>
      <c r="BP3" s="6" t="n"/>
      <c r="BQ3" s="4" t="inlineStr">
        <is>
          <t>HORA 17:28:00</t>
        </is>
      </c>
      <c r="BR3" s="5" t="n"/>
      <c r="BS3" s="6" t="n"/>
      <c r="BT3" s="4" t="inlineStr">
        <is>
          <t>HORA 18:46:00</t>
        </is>
      </c>
      <c r="BU3" s="5" t="n"/>
      <c r="BV3" s="6" t="n"/>
      <c r="BW3" s="4" t="inlineStr">
        <is>
          <t>HORA 2025-11-03 18:53:49</t>
        </is>
      </c>
      <c r="BX3" s="5" t="n"/>
      <c r="BY3" s="6" t="n"/>
    </row>
    <row r="4">
      <c r="A4" s="7" t="n"/>
      <c r="B4" s="7" t="n"/>
      <c r="C4" s="8" t="inlineStr">
        <is>
          <t>GEN.ACTUAL</t>
        </is>
      </c>
      <c r="D4" s="8" t="inlineStr">
        <is>
          <t>MONTO</t>
        </is>
      </c>
      <c r="E4" s="8" t="inlineStr">
        <is>
          <t>CONSIGNA</t>
        </is>
      </c>
      <c r="F4" s="8" t="inlineStr">
        <is>
          <t>GEN.ACTUAL</t>
        </is>
      </c>
      <c r="G4" s="8" t="inlineStr">
        <is>
          <t>MONTO</t>
        </is>
      </c>
      <c r="H4" s="8" t="inlineStr">
        <is>
          <t>CONSIGNA</t>
        </is>
      </c>
      <c r="I4" s="8" t="inlineStr">
        <is>
          <t>GEN.ACTUAL</t>
        </is>
      </c>
      <c r="J4" s="8" t="inlineStr">
        <is>
          <t>MONTO</t>
        </is>
      </c>
      <c r="K4" s="8" t="inlineStr">
        <is>
          <t>CONSIGNA</t>
        </is>
      </c>
      <c r="L4" s="8" t="inlineStr">
        <is>
          <t>GEN.ACTUAL</t>
        </is>
      </c>
      <c r="M4" s="8" t="inlineStr">
        <is>
          <t>MONTO</t>
        </is>
      </c>
      <c r="N4" s="8" t="inlineStr">
        <is>
          <t>CONSIGNA</t>
        </is>
      </c>
      <c r="O4" s="8" t="inlineStr">
        <is>
          <t>GEN.ACTUAL</t>
        </is>
      </c>
      <c r="P4" s="8" t="inlineStr">
        <is>
          <t>MONTO</t>
        </is>
      </c>
      <c r="Q4" s="8" t="inlineStr">
        <is>
          <t>CONSIGNA</t>
        </is>
      </c>
      <c r="R4" s="8" t="inlineStr">
        <is>
          <t>GEN.ACTUAL</t>
        </is>
      </c>
      <c r="S4" s="8" t="inlineStr">
        <is>
          <t>MONTO</t>
        </is>
      </c>
      <c r="T4" s="8" t="inlineStr">
        <is>
          <t>CONSIGNA</t>
        </is>
      </c>
      <c r="U4" s="8" t="inlineStr">
        <is>
          <t>GEN.ACTUAL</t>
        </is>
      </c>
      <c r="V4" s="8" t="inlineStr">
        <is>
          <t>MONTO</t>
        </is>
      </c>
      <c r="W4" s="8" t="inlineStr">
        <is>
          <t>CONSIGNA</t>
        </is>
      </c>
      <c r="X4" s="8" t="inlineStr">
        <is>
          <t>GEN.ACTUAL</t>
        </is>
      </c>
      <c r="Y4" s="8" t="inlineStr">
        <is>
          <t>MONTO</t>
        </is>
      </c>
      <c r="Z4" s="8" t="inlineStr">
        <is>
          <t>CONSIGNA</t>
        </is>
      </c>
      <c r="AA4" s="8" t="inlineStr">
        <is>
          <t>GEN.ACTUAL</t>
        </is>
      </c>
      <c r="AB4" s="8" t="inlineStr">
        <is>
          <t>MONTO</t>
        </is>
      </c>
      <c r="AC4" s="8" t="inlineStr">
        <is>
          <t>CONSIGNA</t>
        </is>
      </c>
      <c r="AD4" s="8" t="inlineStr">
        <is>
          <t>GEN.ACTUAL</t>
        </is>
      </c>
      <c r="AE4" s="8" t="inlineStr">
        <is>
          <t>MONTO</t>
        </is>
      </c>
      <c r="AF4" s="8" t="inlineStr">
        <is>
          <t>CONSIGNA</t>
        </is>
      </c>
      <c r="AG4" s="8" t="inlineStr">
        <is>
          <t>GEN.ACTUAL</t>
        </is>
      </c>
      <c r="AH4" s="8" t="inlineStr">
        <is>
          <t>MONTO</t>
        </is>
      </c>
      <c r="AI4" s="8" t="inlineStr">
        <is>
          <t>CONSIGNA</t>
        </is>
      </c>
      <c r="AJ4" s="8" t="inlineStr">
        <is>
          <t>GEN.ACTUAL</t>
        </is>
      </c>
      <c r="AK4" s="8" t="inlineStr">
        <is>
          <t>MONTO</t>
        </is>
      </c>
      <c r="AL4" s="8" t="inlineStr">
        <is>
          <t>CONSIGNA</t>
        </is>
      </c>
      <c r="AM4" s="8" t="inlineStr">
        <is>
          <t>GEN.ACTUAL</t>
        </is>
      </c>
      <c r="AN4" s="8" t="inlineStr">
        <is>
          <t>MONTO</t>
        </is>
      </c>
      <c r="AO4" s="8" t="inlineStr">
        <is>
          <t>CONSIGNA</t>
        </is>
      </c>
      <c r="AP4" s="8" t="inlineStr">
        <is>
          <t>GEN.ACTUAL</t>
        </is>
      </c>
      <c r="AQ4" s="8" t="inlineStr">
        <is>
          <t>MONTO</t>
        </is>
      </c>
      <c r="AR4" s="8" t="inlineStr">
        <is>
          <t>CONSIGNA</t>
        </is>
      </c>
      <c r="AS4" s="8" t="inlineStr">
        <is>
          <t>GEN.ACTUAL</t>
        </is>
      </c>
      <c r="AT4" s="8" t="inlineStr">
        <is>
          <t>MONTO</t>
        </is>
      </c>
      <c r="AU4" s="8" t="inlineStr">
        <is>
          <t>CONSIGNA</t>
        </is>
      </c>
      <c r="AV4" s="8" t="inlineStr">
        <is>
          <t>GEN.ACTUAL</t>
        </is>
      </c>
      <c r="AW4" s="8" t="inlineStr">
        <is>
          <t>MONTO</t>
        </is>
      </c>
      <c r="AX4" s="8" t="inlineStr">
        <is>
          <t>CONSIGNA</t>
        </is>
      </c>
      <c r="AY4" s="8" t="inlineStr">
        <is>
          <t>GEN.ACTUAL</t>
        </is>
      </c>
      <c r="AZ4" s="8" t="inlineStr">
        <is>
          <t>MONTO</t>
        </is>
      </c>
      <c r="BA4" s="8" t="inlineStr">
        <is>
          <t>CONSIGNA</t>
        </is>
      </c>
      <c r="BB4" s="8" t="inlineStr">
        <is>
          <t>GEN.ACTUAL</t>
        </is>
      </c>
      <c r="BC4" s="8" t="inlineStr">
        <is>
          <t>MONTO</t>
        </is>
      </c>
      <c r="BD4" s="8" t="inlineStr">
        <is>
          <t>CONSIGNA</t>
        </is>
      </c>
      <c r="BE4" s="8" t="inlineStr">
        <is>
          <t>GEN.ACTUAL</t>
        </is>
      </c>
      <c r="BF4" s="8" t="inlineStr">
        <is>
          <t>MONTO</t>
        </is>
      </c>
      <c r="BG4" s="8" t="inlineStr">
        <is>
          <t>CONSIGNA</t>
        </is>
      </c>
      <c r="BH4" s="8" t="inlineStr">
        <is>
          <t>GEN.ACTUAL</t>
        </is>
      </c>
      <c r="BI4" s="8" t="inlineStr">
        <is>
          <t>MONTO</t>
        </is>
      </c>
      <c r="BJ4" s="8" t="inlineStr">
        <is>
          <t>CONSIGNA</t>
        </is>
      </c>
      <c r="BK4" s="8" t="inlineStr">
        <is>
          <t>GEN.ACTUAL</t>
        </is>
      </c>
      <c r="BL4" s="8" t="inlineStr">
        <is>
          <t>MONTO</t>
        </is>
      </c>
      <c r="BM4" s="8" t="inlineStr">
        <is>
          <t>CONSIGNA</t>
        </is>
      </c>
      <c r="BN4" s="8" t="inlineStr">
        <is>
          <t>GEN.ACTUAL</t>
        </is>
      </c>
      <c r="BO4" s="8" t="inlineStr">
        <is>
          <t>MONTO</t>
        </is>
      </c>
      <c r="BP4" s="8" t="inlineStr">
        <is>
          <t>CONSIGNA</t>
        </is>
      </c>
      <c r="BQ4" s="8" t="inlineStr">
        <is>
          <t>GEN.ACTUAL</t>
        </is>
      </c>
      <c r="BR4" s="8" t="inlineStr">
        <is>
          <t>MONTO</t>
        </is>
      </c>
      <c r="BS4" s="8" t="inlineStr">
        <is>
          <t>CONSIGNA</t>
        </is>
      </c>
      <c r="BT4" s="8" t="inlineStr">
        <is>
          <t>GEN.ACTUAL</t>
        </is>
      </c>
      <c r="BU4" s="8" t="inlineStr">
        <is>
          <t>MONTO</t>
        </is>
      </c>
      <c r="BV4" s="8" t="inlineStr">
        <is>
          <t>CONSIGNA</t>
        </is>
      </c>
      <c r="BW4" s="8" t="inlineStr">
        <is>
          <t>CONSIGNA</t>
        </is>
      </c>
    </row>
    <row r="5">
      <c r="A5" s="9" t="n">
        <v>45964</v>
      </c>
      <c r="B5" s="10" t="inlineStr">
        <is>
          <t>PFV-ELPELICANO</t>
        </is>
      </c>
      <c r="C5" s="11" t="n">
        <v>13</v>
      </c>
      <c r="D5" s="12" t="n">
        <v>2</v>
      </c>
      <c r="E5" s="13" t="n">
        <v>14.6</v>
      </c>
      <c r="F5" s="11" t="n">
        <v>15</v>
      </c>
      <c r="G5" s="12" t="n">
        <v>14</v>
      </c>
      <c r="H5" s="13" t="n">
        <v>28.7</v>
      </c>
      <c r="I5" s="11" t="n">
        <v>17</v>
      </c>
      <c r="J5" s="12" t="n">
        <v>19</v>
      </c>
      <c r="K5" s="13" t="n">
        <v>36.1</v>
      </c>
      <c r="L5" s="11" t="n">
        <v>14</v>
      </c>
      <c r="M5" s="12" t="n">
        <v>2</v>
      </c>
      <c r="N5" s="13" t="n">
        <v>15.4</v>
      </c>
      <c r="O5" s="11" t="n">
        <v>36</v>
      </c>
      <c r="P5" s="12" t="n">
        <v>0</v>
      </c>
      <c r="Q5" s="13" t="n">
        <v>35.9</v>
      </c>
      <c r="R5" s="11" t="n">
        <v>36</v>
      </c>
      <c r="S5" s="12" t="n">
        <v>19</v>
      </c>
      <c r="T5" s="13" t="n">
        <v>54.9</v>
      </c>
      <c r="U5" s="11" t="n">
        <v>64</v>
      </c>
      <c r="V5" s="12" t="n">
        <v>10</v>
      </c>
      <c r="W5" s="13" t="n">
        <v>74.5</v>
      </c>
      <c r="X5" s="11" t="n">
        <v>75</v>
      </c>
      <c r="Y5" s="12" t="n">
        <v>-8</v>
      </c>
      <c r="Z5" s="13" t="n">
        <v>67.2</v>
      </c>
      <c r="AA5" s="11" t="n">
        <v>67</v>
      </c>
      <c r="AB5" s="12" t="n">
        <v>5</v>
      </c>
      <c r="AC5" s="13" t="n">
        <v>72.7</v>
      </c>
      <c r="AD5" s="11" t="n">
        <v>73</v>
      </c>
      <c r="AE5" s="12" t="n">
        <v>-7</v>
      </c>
      <c r="AF5" s="13" t="n">
        <v>66.3</v>
      </c>
      <c r="AG5" s="11" t="n">
        <v>66</v>
      </c>
      <c r="AH5" s="12" t="n">
        <v>-3</v>
      </c>
      <c r="AI5" s="13" t="n">
        <v>63.5</v>
      </c>
      <c r="AJ5" s="11" t="n">
        <v>64</v>
      </c>
      <c r="AK5" s="12" t="n">
        <v>-5</v>
      </c>
      <c r="AL5" s="13" t="n">
        <v>58.9</v>
      </c>
      <c r="AM5" s="11" t="n">
        <v>59</v>
      </c>
      <c r="AN5" s="12" t="n">
        <v>-5</v>
      </c>
      <c r="AO5" s="13" t="n">
        <v>54.2</v>
      </c>
      <c r="AP5" s="11" t="n">
        <v>54</v>
      </c>
      <c r="AQ5" s="12" t="n">
        <v>-5</v>
      </c>
      <c r="AR5" s="13" t="n">
        <v>49.1</v>
      </c>
      <c r="AS5" s="11" t="n">
        <v>49</v>
      </c>
      <c r="AT5" s="12" t="n">
        <v>-4</v>
      </c>
      <c r="AU5" s="13" t="n">
        <v>45.1</v>
      </c>
      <c r="AV5" s="11" t="n">
        <v>45</v>
      </c>
      <c r="AW5" s="12" t="n">
        <v>2</v>
      </c>
      <c r="AX5" s="13" t="n">
        <v>47.5</v>
      </c>
      <c r="AY5" s="11" t="n">
        <v>48</v>
      </c>
      <c r="AZ5" s="12" t="n">
        <v>-2</v>
      </c>
      <c r="BA5" s="13" t="n">
        <v>46.3</v>
      </c>
      <c r="BB5" s="11" t="n">
        <v>46</v>
      </c>
      <c r="BC5" s="12" t="n">
        <v>-4</v>
      </c>
      <c r="BD5" s="13" t="n">
        <v>42.4</v>
      </c>
      <c r="BE5" s="11" t="n">
        <v>42</v>
      </c>
      <c r="BF5" s="12" t="n">
        <v>6</v>
      </c>
      <c r="BG5" s="13" t="n">
        <v>47.8</v>
      </c>
      <c r="BH5" s="11" t="n">
        <v>48</v>
      </c>
      <c r="BI5" s="12" t="n">
        <v>3</v>
      </c>
      <c r="BJ5" s="13" t="n">
        <v>50.9</v>
      </c>
      <c r="BK5" s="11" t="n">
        <v>51</v>
      </c>
      <c r="BL5" s="12" t="n">
        <v>-8</v>
      </c>
      <c r="BM5" s="13" t="n">
        <v>42.7</v>
      </c>
      <c r="BN5" s="11" t="n">
        <v>43</v>
      </c>
      <c r="BO5" s="12" t="n">
        <v>-6</v>
      </c>
      <c r="BP5" s="13" t="n">
        <v>37.6</v>
      </c>
      <c r="BQ5" s="11" t="n">
        <v>38</v>
      </c>
      <c r="BR5" s="12" t="n">
        <v>5</v>
      </c>
      <c r="BS5" s="13" t="n">
        <v>42.9</v>
      </c>
      <c r="BT5" s="11" t="n">
        <v>52</v>
      </c>
      <c r="BU5" s="12" t="n">
        <v>2</v>
      </c>
      <c r="BV5" s="13" t="n">
        <v>54</v>
      </c>
      <c r="BW5" s="22" t="inlineStr">
        <is>
          <t>Finaliza prorrata: Prorrata Generalizada costo SEN 0 (al Norte de S/E Ciruelos)</t>
        </is>
      </c>
    </row>
    <row r="6">
      <c r="A6" s="14" t="n">
        <v>45964</v>
      </c>
      <c r="B6" s="15" t="inlineStr">
        <is>
          <t>PFV-ELROMERO</t>
        </is>
      </c>
      <c r="C6" s="11" t="n">
        <v>12</v>
      </c>
      <c r="D6" s="12" t="n">
        <v>10</v>
      </c>
      <c r="E6" s="13" t="n">
        <v>21.7</v>
      </c>
      <c r="F6" s="11" t="n">
        <v>21</v>
      </c>
      <c r="G6" s="12" t="n">
        <v>11</v>
      </c>
      <c r="H6" s="13" t="n">
        <v>32.1</v>
      </c>
      <c r="I6" s="11" t="n">
        <v>17</v>
      </c>
      <c r="J6" s="12" t="n">
        <v>11</v>
      </c>
      <c r="K6" s="13" t="n">
        <v>28</v>
      </c>
      <c r="L6" s="11" t="n">
        <v>21</v>
      </c>
      <c r="M6" s="12" t="n">
        <v>7</v>
      </c>
      <c r="N6" s="13" t="n">
        <v>27.8</v>
      </c>
      <c r="O6" s="11" t="n">
        <v>32</v>
      </c>
      <c r="P6" s="12" t="n">
        <v>9</v>
      </c>
      <c r="Q6" s="13" t="n">
        <v>40.7</v>
      </c>
      <c r="R6" s="11" t="n">
        <v>35</v>
      </c>
      <c r="S6" s="12" t="n">
        <v>11</v>
      </c>
      <c r="T6" s="13" t="n">
        <v>45.7</v>
      </c>
      <c r="U6" s="11" t="n">
        <v>45</v>
      </c>
      <c r="V6" s="12" t="n">
        <v>25</v>
      </c>
      <c r="W6" s="13" t="n">
        <v>70.7</v>
      </c>
      <c r="X6" s="11" t="n">
        <v>70</v>
      </c>
      <c r="Y6" s="12" t="n">
        <v>29</v>
      </c>
      <c r="Z6" s="13" t="n">
        <v>98.40000000000001</v>
      </c>
      <c r="AA6" s="11" t="n">
        <v>97</v>
      </c>
      <c r="AB6" s="12" t="n">
        <v>19</v>
      </c>
      <c r="AC6" s="13" t="n">
        <v>116.1</v>
      </c>
      <c r="AD6" s="11" t="n">
        <v>115</v>
      </c>
      <c r="AE6" s="12" t="n">
        <v>5</v>
      </c>
      <c r="AF6" s="13" t="n">
        <v>120.3</v>
      </c>
      <c r="AG6" s="11" t="n">
        <v>58</v>
      </c>
      <c r="AH6" s="12" t="n">
        <v>57</v>
      </c>
      <c r="AI6" s="13" t="n">
        <v>115.1</v>
      </c>
      <c r="AJ6" s="11" t="n">
        <v>64</v>
      </c>
      <c r="AK6" s="12" t="n">
        <v>43</v>
      </c>
      <c r="AL6" s="13" t="n">
        <v>106.7</v>
      </c>
      <c r="AM6" s="11" t="n">
        <v>46</v>
      </c>
      <c r="AN6" s="12" t="n">
        <v>53</v>
      </c>
      <c r="AO6" s="13" t="n">
        <v>98.3</v>
      </c>
      <c r="AP6" s="11" t="n">
        <v>34</v>
      </c>
      <c r="AQ6" s="12" t="n">
        <v>55</v>
      </c>
      <c r="AR6" s="13" t="n">
        <v>89.09999999999999</v>
      </c>
      <c r="AS6" s="11" t="n">
        <v>66</v>
      </c>
      <c r="AT6" s="12" t="n">
        <v>25</v>
      </c>
      <c r="AU6" s="13" t="n">
        <v>90.90000000000001</v>
      </c>
      <c r="AV6" s="11" t="n">
        <v>140</v>
      </c>
      <c r="AW6" s="12" t="n">
        <v>-38</v>
      </c>
      <c r="AX6" s="13" t="n">
        <v>101.4</v>
      </c>
      <c r="AY6" s="11" t="n">
        <v>81</v>
      </c>
      <c r="AZ6" s="12" t="n">
        <v>8</v>
      </c>
      <c r="BA6" s="13" t="n">
        <v>88.90000000000001</v>
      </c>
      <c r="BB6" s="11" t="n">
        <v>68</v>
      </c>
      <c r="BC6" s="12" t="n">
        <v>21</v>
      </c>
      <c r="BD6" s="13" t="n">
        <v>88.90000000000001</v>
      </c>
      <c r="BE6" s="11" t="n">
        <v>163</v>
      </c>
      <c r="BF6" s="12" t="n">
        <v>-76</v>
      </c>
      <c r="BG6" s="13" t="n">
        <v>86.59999999999999</v>
      </c>
      <c r="BH6" s="11" t="n">
        <v>87</v>
      </c>
      <c r="BI6" s="12" t="n">
        <v>5</v>
      </c>
      <c r="BJ6" s="13" t="n">
        <v>92.3</v>
      </c>
      <c r="BK6" s="11" t="n">
        <v>91</v>
      </c>
      <c r="BL6" s="12" t="n">
        <v>-14</v>
      </c>
      <c r="BM6" s="13" t="n">
        <v>77.5</v>
      </c>
      <c r="BN6" s="11" t="n">
        <v>77</v>
      </c>
      <c r="BO6" s="12" t="n">
        <v>-9</v>
      </c>
      <c r="BP6" s="13" t="n">
        <v>68.2</v>
      </c>
      <c r="BQ6" s="11" t="n">
        <v>68</v>
      </c>
      <c r="BR6" s="12" t="n">
        <v>10</v>
      </c>
      <c r="BS6" s="13" t="n">
        <v>77.7</v>
      </c>
      <c r="BT6" s="11" t="n">
        <v>29</v>
      </c>
      <c r="BU6" s="12" t="n">
        <v>6</v>
      </c>
      <c r="BV6" s="13" t="n">
        <v>34.8</v>
      </c>
      <c r="BW6" s="22" t="inlineStr">
        <is>
          <t>Finaliza prorrata: Prorrata Generalizada costo SEN 0 (al Norte de S/E Ciruelos)</t>
        </is>
      </c>
    </row>
    <row r="7">
      <c r="A7" s="9" t="n">
        <v>45964</v>
      </c>
      <c r="B7" s="10" t="inlineStr">
        <is>
          <t>PFV-LAHUELLA</t>
        </is>
      </c>
      <c r="C7" s="11" t="n">
        <v>11</v>
      </c>
      <c r="D7" s="12" t="n">
        <v>2</v>
      </c>
      <c r="E7" s="13" t="n">
        <v>13</v>
      </c>
      <c r="F7" s="11" t="n">
        <v>13</v>
      </c>
      <c r="G7" s="12" t="n">
        <v>10</v>
      </c>
      <c r="H7" s="13" t="n">
        <v>22.5</v>
      </c>
      <c r="I7" s="11" t="n">
        <v>14</v>
      </c>
      <c r="J7" s="12" t="n">
        <v>3</v>
      </c>
      <c r="K7" s="13" t="n">
        <v>16.8</v>
      </c>
      <c r="L7" s="11" t="n">
        <v>11</v>
      </c>
      <c r="M7" s="12" t="n">
        <v>2</v>
      </c>
      <c r="N7" s="13" t="n">
        <v>12.8</v>
      </c>
      <c r="O7" s="11" t="n">
        <v>17</v>
      </c>
      <c r="P7" s="12" t="n">
        <v>16</v>
      </c>
      <c r="Q7" s="13" t="n">
        <v>32.9</v>
      </c>
      <c r="R7" s="11" t="n">
        <v>33</v>
      </c>
      <c r="S7" s="12" t="n">
        <v>8</v>
      </c>
      <c r="T7" s="13" t="n">
        <v>41</v>
      </c>
      <c r="U7" s="11" t="n">
        <v>44</v>
      </c>
      <c r="V7" s="12" t="n">
        <v>14</v>
      </c>
      <c r="W7" s="13" t="n">
        <v>57.5</v>
      </c>
      <c r="X7" s="11" t="n">
        <v>58</v>
      </c>
      <c r="Y7" s="12" t="n">
        <v>-6</v>
      </c>
      <c r="Z7" s="13" t="n">
        <v>52.8</v>
      </c>
      <c r="AA7" s="11" t="n">
        <v>53</v>
      </c>
      <c r="AB7" s="12" t="n">
        <v>4</v>
      </c>
      <c r="AC7" s="13" t="n">
        <v>57.1</v>
      </c>
      <c r="AD7" s="11" t="n">
        <v>57</v>
      </c>
      <c r="AE7" s="12" t="n">
        <v>-5</v>
      </c>
      <c r="AF7" s="13" t="n">
        <v>52.2</v>
      </c>
      <c r="AG7" s="11" t="n">
        <v>52</v>
      </c>
      <c r="AH7" s="12" t="n">
        <v>-2</v>
      </c>
      <c r="AI7" s="13" t="n">
        <v>49.9</v>
      </c>
      <c r="AJ7" s="11" t="n">
        <v>50</v>
      </c>
      <c r="AK7" s="12" t="n">
        <v>-4</v>
      </c>
      <c r="AL7" s="13" t="n">
        <v>46.3</v>
      </c>
      <c r="AM7" s="11" t="n">
        <v>46</v>
      </c>
      <c r="AN7" s="12" t="n">
        <v>-4</v>
      </c>
      <c r="AO7" s="13" t="n">
        <v>42.6</v>
      </c>
      <c r="AP7" s="11" t="n">
        <v>46</v>
      </c>
      <c r="AQ7" s="12" t="n">
        <v>-8</v>
      </c>
      <c r="AR7" s="13" t="n">
        <v>38.6</v>
      </c>
      <c r="AS7" s="11" t="n">
        <v>39</v>
      </c>
      <c r="AT7" s="12" t="n">
        <v>-4</v>
      </c>
      <c r="AU7" s="13" t="n">
        <v>35.4</v>
      </c>
      <c r="AV7" s="11" t="n">
        <v>35</v>
      </c>
      <c r="AW7" s="12" t="n">
        <v>2</v>
      </c>
      <c r="AX7" s="13" t="n">
        <v>37.3</v>
      </c>
      <c r="AY7" s="11" t="n">
        <v>37</v>
      </c>
      <c r="AZ7" s="12" t="n">
        <v>-1</v>
      </c>
      <c r="BA7" s="13" t="n">
        <v>36.4</v>
      </c>
      <c r="BB7" s="11" t="n">
        <v>36</v>
      </c>
      <c r="BC7" s="12" t="n">
        <v>-3</v>
      </c>
      <c r="BD7" s="13" t="n">
        <v>33.3</v>
      </c>
      <c r="BE7" s="11" t="n">
        <v>33</v>
      </c>
      <c r="BF7" s="12" t="n">
        <v>4</v>
      </c>
      <c r="BG7" s="13" t="n">
        <v>37.6</v>
      </c>
      <c r="BH7" s="11" t="n">
        <v>38</v>
      </c>
      <c r="BI7" s="12" t="n">
        <v>2</v>
      </c>
      <c r="BJ7" s="13" t="n">
        <v>40</v>
      </c>
      <c r="BK7" s="11" t="n">
        <v>40</v>
      </c>
      <c r="BL7" s="12" t="n">
        <v>-6</v>
      </c>
      <c r="BM7" s="13" t="n">
        <v>33.6</v>
      </c>
      <c r="BN7" s="11" t="n">
        <v>34</v>
      </c>
      <c r="BO7" s="12" t="n">
        <v>-4</v>
      </c>
      <c r="BP7" s="13" t="n">
        <v>29.6</v>
      </c>
      <c r="BQ7" s="11" t="n">
        <v>30</v>
      </c>
      <c r="BR7" s="12" t="n">
        <v>4</v>
      </c>
      <c r="BS7" s="13" t="n">
        <v>33.7</v>
      </c>
      <c r="BT7" s="11" t="n">
        <v>39</v>
      </c>
      <c r="BU7" s="12" t="n">
        <v>5</v>
      </c>
      <c r="BV7" s="13" t="n">
        <v>43.8</v>
      </c>
      <c r="BW7" s="22" t="inlineStr">
        <is>
          <t>Finaliza prorrata: Prorrata Generalizada costo SEN 0 (al Norte de S/E Ciruelos)</t>
        </is>
      </c>
    </row>
    <row r="10">
      <c r="E10" s="16" t="inlineStr">
        <is>
          <t>suma total</t>
        </is>
      </c>
      <c r="F10" s="17" t="inlineStr">
        <is>
          <t>GEN.ACTUAL</t>
        </is>
      </c>
      <c r="G10" s="17" t="inlineStr">
        <is>
          <t>MONTO</t>
        </is>
      </c>
      <c r="H10" s="17" t="inlineStr">
        <is>
          <t>CONSIGNA</t>
        </is>
      </c>
    </row>
    <row r="11">
      <c r="E11" s="18" t="inlineStr">
        <is>
          <t>PFV-ELPELICANO</t>
        </is>
      </c>
      <c r="F11" s="19">
        <f>SUM(C5,F5,I5,L5,O5,R5,U5,X5,AA5,AD5,AG5,AJ5,AM5,AP5,AS5,AV5,AY5,BB5,BE5,BH5,BK5,BN5,BQ5,BT5)</f>
        <v/>
      </c>
      <c r="G11" s="20">
        <f>SUM(D5,G5,J5,M5,P5,S5,V5,Y5,AB5,AE5,AH5,AK5,AN5,AQ5,AT5,AW5,AZ5,BC5,BF5,BI5,BL5,BO5,BR5,BU5)</f>
        <v/>
      </c>
      <c r="H11" s="21">
        <f>SUM(E5,H5,K5,N5,Q5,T5,W5,Z5,AC5,AF5,AI5,AL5,AO5,AR5,AU5,AX5,BA5,BD5,BG5,BJ5,BM5,BP5,BS5,BV5,BW5)</f>
        <v/>
      </c>
    </row>
    <row r="12">
      <c r="E12" s="18" t="inlineStr">
        <is>
          <t>PFV-ELROMERO</t>
        </is>
      </c>
      <c r="F12" s="19">
        <f>SUM(C6,F6,I6,L6,O6,R6,U6,X6,AA6,AD6,AG6,AJ6,AM6,AP6,AS6,AV6,AY6,BB6,BE6,BH6,BK6,BN6,BQ6,BT6)</f>
        <v/>
      </c>
      <c r="G12" s="20">
        <f>SUM(D6,G6,J6,M6,P6,S6,V6,Y6,AB6,AE6,AH6,AK6,AN6,AQ6,AT6,AW6,AZ6,BC6,BF6,BI6,BL6,BO6,BR6,BU6)</f>
        <v/>
      </c>
      <c r="H12" s="21">
        <f>SUM(E6,H6,K6,N6,Q6,T6,W6,Z6,AC6,AF6,AI6,AL6,AO6,AR6,AU6,AX6,BA6,BD6,BG6,BJ6,BM6,BP6,BS6,BV6,BW6)</f>
        <v/>
      </c>
    </row>
    <row r="13">
      <c r="E13" s="18" t="inlineStr">
        <is>
          <t>PFV-LAHUELLA</t>
        </is>
      </c>
      <c r="F13" s="19">
        <f>SUM(C7,F7,I7,L7,O7,R7,U7,X7,AA7,AD7,AG7,AJ7,AM7,AP7,AS7,AV7,AY7,BB7,BE7,BH7,BK7,BN7,BQ7,BT7)</f>
        <v/>
      </c>
      <c r="G13" s="20">
        <f>SUM(D7,G7,J7,M7,P7,S7,V7,Y7,AB7,AE7,AH7,AK7,AN7,AQ7,AT7,AW7,AZ7,BC7,BF7,BI7,BL7,BO7,BR7,BU7)</f>
        <v/>
      </c>
      <c r="H13" s="21">
        <f>SUM(E7,H7,K7,N7,Q7,T7,W7,Z7,AC7,AF7,AI7,AL7,AO7,AR7,AU7,AX7,BA7,BD7,BG7,BJ7,BM7,BP7,BS7,BV7,BW7)</f>
        <v/>
      </c>
    </row>
    <row r="114">
      <c r="C114" t="inlineStr">
        <is>
          <t>07:28</t>
        </is>
      </c>
      <c r="D114" t="inlineStr">
        <is>
          <t>07:40</t>
        </is>
      </c>
      <c r="E114" t="inlineStr">
        <is>
          <t>07:44</t>
        </is>
      </c>
      <c r="F114" t="inlineStr">
        <is>
          <t>07:59</t>
        </is>
      </c>
      <c r="G114" t="inlineStr">
        <is>
          <t>08:03</t>
        </is>
      </c>
      <c r="H114" t="inlineStr">
        <is>
          <t>08:19</t>
        </is>
      </c>
      <c r="I114" t="inlineStr">
        <is>
          <t>08:46</t>
        </is>
      </c>
      <c r="J114" t="inlineStr">
        <is>
          <t>09:17</t>
        </is>
      </c>
      <c r="K114" t="inlineStr">
        <is>
          <t>09:29</t>
        </is>
      </c>
      <c r="L114" t="inlineStr">
        <is>
          <t>11:59</t>
        </is>
      </c>
      <c r="M114" t="inlineStr">
        <is>
          <t>12:13</t>
        </is>
      </c>
      <c r="N114" t="inlineStr">
        <is>
          <t>12:36</t>
        </is>
      </c>
      <c r="O114" t="inlineStr">
        <is>
          <t>12:51</t>
        </is>
      </c>
      <c r="P114" t="inlineStr">
        <is>
          <t>12:57</t>
        </is>
      </c>
      <c r="Q114" t="inlineStr">
        <is>
          <t>13:05</t>
        </is>
      </c>
      <c r="R114" t="inlineStr">
        <is>
          <t>13:25</t>
        </is>
      </c>
      <c r="S114" t="inlineStr">
        <is>
          <t>14:53</t>
        </is>
      </c>
      <c r="T114" t="inlineStr">
        <is>
          <t>15:36</t>
        </is>
      </c>
      <c r="U114" t="inlineStr">
        <is>
          <t>15:55</t>
        </is>
      </c>
      <c r="V114" t="inlineStr">
        <is>
          <t>16:14</t>
        </is>
      </c>
      <c r="W114" t="inlineStr">
        <is>
          <t>16:49</t>
        </is>
      </c>
      <c r="X114" t="inlineStr">
        <is>
          <t>17:06</t>
        </is>
      </c>
      <c r="Y114" t="inlineStr">
        <is>
          <t>17:28</t>
        </is>
      </c>
      <c r="Z114" t="inlineStr">
        <is>
          <t>18:46</t>
        </is>
      </c>
      <c r="AA114" t="inlineStr">
        <is>
          <t>18:53</t>
        </is>
      </c>
    </row>
    <row r="115">
      <c r="C115" t="n">
        <v>13</v>
      </c>
      <c r="D115" t="n">
        <v>15</v>
      </c>
      <c r="E115" t="n">
        <v>17</v>
      </c>
      <c r="F115" t="n">
        <v>14</v>
      </c>
      <c r="G115" t="n">
        <v>36</v>
      </c>
      <c r="H115" t="n">
        <v>36</v>
      </c>
      <c r="I115" t="n">
        <v>64</v>
      </c>
      <c r="J115" t="n">
        <v>75</v>
      </c>
      <c r="K115" t="n">
        <v>67</v>
      </c>
      <c r="L115" t="n">
        <v>73</v>
      </c>
      <c r="M115" t="n">
        <v>66</v>
      </c>
      <c r="N115" t="n">
        <v>64</v>
      </c>
      <c r="O115" t="n">
        <v>59</v>
      </c>
      <c r="P115" t="n">
        <v>54</v>
      </c>
      <c r="Q115" t="n">
        <v>49</v>
      </c>
      <c r="R115" t="n">
        <v>45</v>
      </c>
      <c r="S115" t="n">
        <v>48</v>
      </c>
      <c r="T115" t="n">
        <v>46</v>
      </c>
      <c r="U115" t="n">
        <v>42</v>
      </c>
      <c r="V115" t="n">
        <v>48</v>
      </c>
      <c r="W115" t="n">
        <v>51</v>
      </c>
      <c r="X115" t="n">
        <v>43</v>
      </c>
      <c r="Y115" t="n">
        <v>38</v>
      </c>
      <c r="Z115" t="n">
        <v>52</v>
      </c>
      <c r="AA115" t="inlineStr">
        <is>
          <t>Finaliza prorrata: Prorrata Generalizada costo SEN 0 (al Norte de S/E Ciruelos)</t>
        </is>
      </c>
    </row>
    <row r="116">
      <c r="C116" t="n">
        <v>12</v>
      </c>
      <c r="D116" t="n">
        <v>21</v>
      </c>
      <c r="E116" t="n">
        <v>17</v>
      </c>
      <c r="F116" t="n">
        <v>21</v>
      </c>
      <c r="G116" t="n">
        <v>32</v>
      </c>
      <c r="H116" t="n">
        <v>35</v>
      </c>
      <c r="I116" t="n">
        <v>45</v>
      </c>
      <c r="J116" t="n">
        <v>70</v>
      </c>
      <c r="K116" t="n">
        <v>97</v>
      </c>
      <c r="L116" t="n">
        <v>115</v>
      </c>
      <c r="M116" t="n">
        <v>58</v>
      </c>
      <c r="N116" t="n">
        <v>64</v>
      </c>
      <c r="O116" t="n">
        <v>46</v>
      </c>
      <c r="P116" t="n">
        <v>34</v>
      </c>
      <c r="Q116" t="n">
        <v>66</v>
      </c>
      <c r="R116" t="n">
        <v>140</v>
      </c>
      <c r="S116" t="n">
        <v>81</v>
      </c>
      <c r="T116" t="n">
        <v>68</v>
      </c>
      <c r="U116" t="n">
        <v>163</v>
      </c>
      <c r="V116" t="n">
        <v>87</v>
      </c>
      <c r="W116" t="n">
        <v>91</v>
      </c>
      <c r="X116" t="n">
        <v>77</v>
      </c>
      <c r="Y116" t="n">
        <v>68</v>
      </c>
      <c r="Z116" t="n">
        <v>29</v>
      </c>
      <c r="AA116" t="inlineStr">
        <is>
          <t>Finaliza prorrata: Prorrata Generalizada costo SEN 0 (al Norte de S/E Ciruelos)</t>
        </is>
      </c>
    </row>
    <row r="117">
      <c r="C117" t="n">
        <v>11</v>
      </c>
      <c r="D117" t="n">
        <v>13</v>
      </c>
      <c r="E117" t="n">
        <v>14</v>
      </c>
      <c r="F117" t="n">
        <v>11</v>
      </c>
      <c r="G117" t="n">
        <v>17</v>
      </c>
      <c r="H117" t="n">
        <v>33</v>
      </c>
      <c r="I117" t="n">
        <v>44</v>
      </c>
      <c r="J117" t="n">
        <v>58</v>
      </c>
      <c r="K117" t="n">
        <v>53</v>
      </c>
      <c r="L117" t="n">
        <v>57</v>
      </c>
      <c r="M117" t="n">
        <v>52</v>
      </c>
      <c r="N117" t="n">
        <v>50</v>
      </c>
      <c r="O117" t="n">
        <v>46</v>
      </c>
      <c r="P117" t="n">
        <v>46</v>
      </c>
      <c r="Q117" t="n">
        <v>39</v>
      </c>
      <c r="R117" t="n">
        <v>35</v>
      </c>
      <c r="S117" t="n">
        <v>37</v>
      </c>
      <c r="T117" t="n">
        <v>36</v>
      </c>
      <c r="U117" t="n">
        <v>33</v>
      </c>
      <c r="V117" t="n">
        <v>38</v>
      </c>
      <c r="W117" t="n">
        <v>40</v>
      </c>
      <c r="X117" t="n">
        <v>34</v>
      </c>
      <c r="Y117" t="n">
        <v>30</v>
      </c>
      <c r="Z117" t="n">
        <v>39</v>
      </c>
      <c r="AA117" t="inlineStr">
        <is>
          <t>Finaliza prorrata: Prorrata Generalizada costo SEN 0 (al Norte de S/E Ciruelos)</t>
        </is>
      </c>
    </row>
  </sheetData>
  <mergeCells count="27">
    <mergeCell ref="BN3:BP3"/>
    <mergeCell ref="B3:B4"/>
    <mergeCell ref="X3:Z3"/>
    <mergeCell ref="AJ3:AL3"/>
    <mergeCell ref="I3:K3"/>
    <mergeCell ref="U3:W3"/>
    <mergeCell ref="BT3:BV3"/>
    <mergeCell ref="BK3:BM3"/>
    <mergeCell ref="BQ3:BS3"/>
    <mergeCell ref="R3:T3"/>
    <mergeCell ref="BW3:BY3"/>
    <mergeCell ref="A3:A4"/>
    <mergeCell ref="AG3:AI3"/>
    <mergeCell ref="AA3:AC3"/>
    <mergeCell ref="AM3:AO3"/>
    <mergeCell ref="AS3:AU3"/>
    <mergeCell ref="C3:E3"/>
    <mergeCell ref="AD3:AF3"/>
    <mergeCell ref="AY3:BA3"/>
    <mergeCell ref="BE3:BG3"/>
    <mergeCell ref="AP3:AR3"/>
    <mergeCell ref="O3:Q3"/>
    <mergeCell ref="BB3:BD3"/>
    <mergeCell ref="AV3:AX3"/>
    <mergeCell ref="F3:H3"/>
    <mergeCell ref="L3:N3"/>
    <mergeCell ref="BH3:BJ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 ht="2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</row>
    <row r="2" ht="27" customHeight="1">
      <c r="A2" s="2" t="n"/>
    </row>
    <row r="3">
      <c r="A3" s="3" t="inlineStr">
        <is>
          <t>FECHA</t>
        </is>
      </c>
      <c r="B3" s="4" t="inlineStr">
        <is>
          <t>GENERADORA</t>
        </is>
      </c>
      <c r="C3" s="4" t="inlineStr">
        <is>
          <t>HORA 07:15:00</t>
        </is>
      </c>
      <c r="D3" s="5" t="n"/>
      <c r="E3" s="6" t="n"/>
      <c r="F3" s="4" t="inlineStr">
        <is>
          <t>HORA 07:57:00</t>
        </is>
      </c>
      <c r="G3" s="5" t="n"/>
      <c r="H3" s="6" t="n"/>
      <c r="I3" s="4" t="inlineStr">
        <is>
          <t>HORA 08:04:00</t>
        </is>
      </c>
      <c r="J3" s="5" t="n"/>
      <c r="K3" s="6" t="n"/>
      <c r="L3" s="4" t="inlineStr">
        <is>
          <t>HORA 08:09:00</t>
        </is>
      </c>
      <c r="M3" s="5" t="n"/>
      <c r="N3" s="6" t="n"/>
      <c r="O3" s="4" t="inlineStr">
        <is>
          <t>HORA 08:19:00</t>
        </is>
      </c>
      <c r="P3" s="5" t="n"/>
      <c r="Q3" s="6" t="n"/>
      <c r="R3" s="4" t="inlineStr">
        <is>
          <t>HORA 08:34:00</t>
        </is>
      </c>
      <c r="S3" s="5" t="n"/>
      <c r="T3" s="6" t="n"/>
      <c r="U3" s="4" t="inlineStr">
        <is>
          <t>HORA 08:56:00</t>
        </is>
      </c>
      <c r="V3" s="5" t="n"/>
      <c r="W3" s="6" t="n"/>
      <c r="X3" s="4" t="inlineStr">
        <is>
          <t>HORA 09:05:00</t>
        </is>
      </c>
      <c r="Y3" s="5" t="n"/>
      <c r="Z3" s="6" t="n"/>
      <c r="AA3" s="4" t="inlineStr">
        <is>
          <t>HORA 09:38:00</t>
        </is>
      </c>
      <c r="AB3" s="5" t="n"/>
      <c r="AC3" s="6" t="n"/>
      <c r="AD3" s="4" t="inlineStr">
        <is>
          <t>HORA 10:06:00</t>
        </is>
      </c>
      <c r="AE3" s="5" t="n"/>
      <c r="AF3" s="6" t="n"/>
      <c r="AG3" s="4" t="inlineStr">
        <is>
          <t>HORA 11:22:00</t>
        </is>
      </c>
      <c r="AH3" s="5" t="n"/>
      <c r="AI3" s="6" t="n"/>
      <c r="AJ3" s="4" t="inlineStr">
        <is>
          <t>HORA 12:17:00</t>
        </is>
      </c>
      <c r="AK3" s="5" t="n"/>
      <c r="AL3" s="6" t="n"/>
      <c r="AM3" s="4" t="inlineStr">
        <is>
          <t>HORA 13:44:00</t>
        </is>
      </c>
      <c r="AN3" s="5" t="n"/>
      <c r="AO3" s="6" t="n"/>
      <c r="AP3" s="4" t="inlineStr">
        <is>
          <t>HORA 14:10:00</t>
        </is>
      </c>
      <c r="AQ3" s="5" t="n"/>
      <c r="AR3" s="6" t="n"/>
      <c r="AS3" s="4" t="inlineStr">
        <is>
          <t>HORA 14:21:00</t>
        </is>
      </c>
      <c r="AT3" s="5" t="n"/>
      <c r="AU3" s="6" t="n"/>
      <c r="AV3" s="4" t="inlineStr">
        <is>
          <t>HORA 14:43:00</t>
        </is>
      </c>
      <c r="AW3" s="5" t="n"/>
      <c r="AX3" s="6" t="n"/>
      <c r="AY3" s="4" t="inlineStr">
        <is>
          <t>HORA 16:16:00</t>
        </is>
      </c>
      <c r="AZ3" s="5" t="n"/>
      <c r="BA3" s="6" t="n"/>
      <c r="BB3" s="4" t="inlineStr">
        <is>
          <t>HORA 16:30:00</t>
        </is>
      </c>
      <c r="BC3" s="5" t="n"/>
      <c r="BD3" s="6" t="n"/>
      <c r="BE3" s="4" t="inlineStr">
        <is>
          <t>HORA 17:06:00</t>
        </is>
      </c>
      <c r="BF3" s="5" t="n"/>
      <c r="BG3" s="6" t="n"/>
      <c r="BH3" s="4" t="inlineStr">
        <is>
          <t>HORA 17:32:00</t>
        </is>
      </c>
      <c r="BI3" s="5" t="n"/>
      <c r="BJ3" s="6" t="n"/>
      <c r="BK3" s="4" t="inlineStr">
        <is>
          <t>HORA 18:00:00</t>
        </is>
      </c>
      <c r="BL3" s="5" t="n"/>
      <c r="BM3" s="6" t="n"/>
      <c r="BN3" s="4" t="inlineStr">
        <is>
          <t>HORA 18:42:00</t>
        </is>
      </c>
      <c r="BO3" s="5" t="n"/>
      <c r="BP3" s="6" t="n"/>
      <c r="BQ3" s="4" t="inlineStr">
        <is>
          <t>HORA 18:51:00</t>
        </is>
      </c>
      <c r="BR3" s="5" t="n"/>
      <c r="BS3" s="6" t="n"/>
    </row>
    <row r="4">
      <c r="A4" s="7" t="n"/>
      <c r="B4" s="7" t="n"/>
      <c r="C4" s="8" t="inlineStr">
        <is>
          <t>GEN.ACTUAL</t>
        </is>
      </c>
      <c r="D4" s="8" t="inlineStr">
        <is>
          <t>MONTO</t>
        </is>
      </c>
      <c r="E4" s="8" t="inlineStr">
        <is>
          <t>CONSIGNA</t>
        </is>
      </c>
      <c r="F4" s="8" t="inlineStr">
        <is>
          <t>GEN.ACTUAL</t>
        </is>
      </c>
      <c r="G4" s="8" t="inlineStr">
        <is>
          <t>MONTO</t>
        </is>
      </c>
      <c r="H4" s="8" t="inlineStr">
        <is>
          <t>CONSIGNA</t>
        </is>
      </c>
      <c r="I4" s="8" t="inlineStr">
        <is>
          <t>GEN.ACTUAL</t>
        </is>
      </c>
      <c r="J4" s="8" t="inlineStr">
        <is>
          <t>MONTO</t>
        </is>
      </c>
      <c r="K4" s="8" t="inlineStr">
        <is>
          <t>CONSIGNA</t>
        </is>
      </c>
      <c r="L4" s="8" t="inlineStr">
        <is>
          <t>GEN.ACTUAL</t>
        </is>
      </c>
      <c r="M4" s="8" t="inlineStr">
        <is>
          <t>MONTO</t>
        </is>
      </c>
      <c r="N4" s="8" t="inlineStr">
        <is>
          <t>CONSIGNA</t>
        </is>
      </c>
      <c r="O4" s="8" t="inlineStr">
        <is>
          <t>GEN.ACTUAL</t>
        </is>
      </c>
      <c r="P4" s="8" t="inlineStr">
        <is>
          <t>MONTO</t>
        </is>
      </c>
      <c r="Q4" s="8" t="inlineStr">
        <is>
          <t>CONSIGNA</t>
        </is>
      </c>
      <c r="R4" s="8" t="inlineStr">
        <is>
          <t>GEN.ACTUAL</t>
        </is>
      </c>
      <c r="S4" s="8" t="inlineStr">
        <is>
          <t>MONTO</t>
        </is>
      </c>
      <c r="T4" s="8" t="inlineStr">
        <is>
          <t>CONSIGNA</t>
        </is>
      </c>
      <c r="U4" s="8" t="inlineStr">
        <is>
          <t>GEN.ACTUAL</t>
        </is>
      </c>
      <c r="V4" s="8" t="inlineStr">
        <is>
          <t>MONTO</t>
        </is>
      </c>
      <c r="W4" s="8" t="inlineStr">
        <is>
          <t>CONSIGNA</t>
        </is>
      </c>
      <c r="X4" s="8" t="inlineStr">
        <is>
          <t>GEN.ACTUAL</t>
        </is>
      </c>
      <c r="Y4" s="8" t="inlineStr">
        <is>
          <t>MONTO</t>
        </is>
      </c>
      <c r="Z4" s="8" t="inlineStr">
        <is>
          <t>CONSIGNA</t>
        </is>
      </c>
      <c r="AA4" s="8" t="inlineStr">
        <is>
          <t>GEN.ACTUAL</t>
        </is>
      </c>
      <c r="AB4" s="8" t="inlineStr">
        <is>
          <t>MONTO</t>
        </is>
      </c>
      <c r="AC4" s="8" t="inlineStr">
        <is>
          <t>CONSIGNA</t>
        </is>
      </c>
      <c r="AD4" s="8" t="inlineStr">
        <is>
          <t>GEN.ACTUAL</t>
        </is>
      </c>
      <c r="AE4" s="8" t="inlineStr">
        <is>
          <t>MONTO</t>
        </is>
      </c>
      <c r="AF4" s="8" t="inlineStr">
        <is>
          <t>CONSIGNA</t>
        </is>
      </c>
      <c r="AG4" s="8" t="inlineStr">
        <is>
          <t>GEN.ACTUAL</t>
        </is>
      </c>
      <c r="AH4" s="8" t="inlineStr">
        <is>
          <t>MONTO</t>
        </is>
      </c>
      <c r="AI4" s="8" t="inlineStr">
        <is>
          <t>CONSIGNA</t>
        </is>
      </c>
      <c r="AJ4" s="8" t="inlineStr">
        <is>
          <t>GEN.ACTUAL</t>
        </is>
      </c>
      <c r="AK4" s="8" t="inlineStr">
        <is>
          <t>MONTO</t>
        </is>
      </c>
      <c r="AL4" s="8" t="inlineStr">
        <is>
          <t>CONSIGNA</t>
        </is>
      </c>
      <c r="AM4" s="8" t="inlineStr">
        <is>
          <t>GEN.ACTUAL</t>
        </is>
      </c>
      <c r="AN4" s="8" t="inlineStr">
        <is>
          <t>MONTO</t>
        </is>
      </c>
      <c r="AO4" s="8" t="inlineStr">
        <is>
          <t>CONSIGNA</t>
        </is>
      </c>
      <c r="AP4" s="8" t="inlineStr">
        <is>
          <t>GEN.ACTUAL</t>
        </is>
      </c>
      <c r="AQ4" s="8" t="inlineStr">
        <is>
          <t>MONTO</t>
        </is>
      </c>
      <c r="AR4" s="8" t="inlineStr">
        <is>
          <t>CONSIGNA</t>
        </is>
      </c>
      <c r="AS4" s="8" t="inlineStr">
        <is>
          <t>GEN.ACTUAL</t>
        </is>
      </c>
      <c r="AT4" s="8" t="inlineStr">
        <is>
          <t>MONTO</t>
        </is>
      </c>
      <c r="AU4" s="8" t="inlineStr">
        <is>
          <t>CONSIGNA</t>
        </is>
      </c>
      <c r="AV4" s="8" t="inlineStr">
        <is>
          <t>GEN.ACTUAL</t>
        </is>
      </c>
      <c r="AW4" s="8" t="inlineStr">
        <is>
          <t>MONTO</t>
        </is>
      </c>
      <c r="AX4" s="8" t="inlineStr">
        <is>
          <t>CONSIGNA</t>
        </is>
      </c>
      <c r="AY4" s="8" t="inlineStr">
        <is>
          <t>GEN.ACTUAL</t>
        </is>
      </c>
      <c r="AZ4" s="8" t="inlineStr">
        <is>
          <t>MONTO</t>
        </is>
      </c>
      <c r="BA4" s="8" t="inlineStr">
        <is>
          <t>CONSIGNA</t>
        </is>
      </c>
      <c r="BB4" s="8" t="inlineStr">
        <is>
          <t>GEN.ACTUAL</t>
        </is>
      </c>
      <c r="BC4" s="8" t="inlineStr">
        <is>
          <t>MONTO</t>
        </is>
      </c>
      <c r="BD4" s="8" t="inlineStr">
        <is>
          <t>CONSIGNA</t>
        </is>
      </c>
      <c r="BE4" s="8" t="inlineStr">
        <is>
          <t>GEN.ACTUAL</t>
        </is>
      </c>
      <c r="BF4" s="8" t="inlineStr">
        <is>
          <t>MONTO</t>
        </is>
      </c>
      <c r="BG4" s="8" t="inlineStr">
        <is>
          <t>CONSIGNA</t>
        </is>
      </c>
      <c r="BH4" s="8" t="inlineStr">
        <is>
          <t>GEN.ACTUAL</t>
        </is>
      </c>
      <c r="BI4" s="8" t="inlineStr">
        <is>
          <t>MONTO</t>
        </is>
      </c>
      <c r="BJ4" s="8" t="inlineStr">
        <is>
          <t>CONSIGNA</t>
        </is>
      </c>
      <c r="BK4" s="8" t="inlineStr">
        <is>
          <t>GEN.ACTUAL</t>
        </is>
      </c>
      <c r="BL4" s="8" t="inlineStr">
        <is>
          <t>MONTO</t>
        </is>
      </c>
      <c r="BM4" s="8" t="inlineStr">
        <is>
          <t>CONSIGNA</t>
        </is>
      </c>
      <c r="BN4" s="8" t="inlineStr">
        <is>
          <t>GEN.ACTUAL</t>
        </is>
      </c>
      <c r="BO4" s="8" t="inlineStr">
        <is>
          <t>MONTO</t>
        </is>
      </c>
      <c r="BP4" s="8" t="inlineStr">
        <is>
          <t>CONSIGNA</t>
        </is>
      </c>
      <c r="BQ4" s="8" t="inlineStr">
        <is>
          <t>GEN.ACTUAL</t>
        </is>
      </c>
      <c r="BR4" s="8" t="inlineStr">
        <is>
          <t>MONTO</t>
        </is>
      </c>
      <c r="BS4" s="8" t="inlineStr">
        <is>
          <t>CONSIGNA</t>
        </is>
      </c>
    </row>
    <row r="5">
      <c r="A5" s="9" t="n">
        <v>45965</v>
      </c>
      <c r="B5" s="10" t="inlineStr">
        <is>
          <t>PFV-ELPELICANO</t>
        </is>
      </c>
      <c r="C5" s="11" t="n">
        <v>1</v>
      </c>
      <c r="D5" s="12" t="n">
        <v>0</v>
      </c>
      <c r="E5" s="13" t="n">
        <v>6.5</v>
      </c>
      <c r="F5" s="11" t="n">
        <v>7</v>
      </c>
      <c r="G5" s="12" t="n">
        <v>12</v>
      </c>
      <c r="H5" s="13" t="n">
        <v>18.9</v>
      </c>
      <c r="I5" s="11" t="n">
        <v>19</v>
      </c>
      <c r="J5" s="12" t="n">
        <v>1</v>
      </c>
      <c r="K5" s="13" t="n">
        <v>20.2</v>
      </c>
      <c r="L5" s="11" t="n">
        <v>20</v>
      </c>
      <c r="M5" s="12" t="n">
        <v>5</v>
      </c>
      <c r="N5" s="13" t="n">
        <v>24.9</v>
      </c>
      <c r="O5" s="11" t="n">
        <v>25</v>
      </c>
      <c r="P5" s="12" t="n">
        <v>7</v>
      </c>
      <c r="Q5" s="13" t="n">
        <v>32.6</v>
      </c>
      <c r="R5" s="11" t="n">
        <v>33</v>
      </c>
      <c r="S5" s="12" t="n">
        <v>8</v>
      </c>
      <c r="T5" s="13" t="n">
        <v>41.5</v>
      </c>
      <c r="U5" s="11" t="n">
        <v>42</v>
      </c>
      <c r="V5" s="12" t="n">
        <v>1</v>
      </c>
      <c r="W5" s="13" t="n">
        <v>43</v>
      </c>
      <c r="X5" s="11" t="n">
        <v>48</v>
      </c>
      <c r="Y5" s="12" t="n">
        <v>6</v>
      </c>
      <c r="Z5" s="13" t="n">
        <v>53.9</v>
      </c>
      <c r="AA5" s="11" t="n">
        <v>58</v>
      </c>
      <c r="AB5" s="12" t="n">
        <v>1</v>
      </c>
      <c r="AC5" s="13" t="n">
        <v>59.4</v>
      </c>
      <c r="AD5" s="11" t="n">
        <v>59</v>
      </c>
      <c r="AE5" s="12" t="n">
        <v>6</v>
      </c>
      <c r="AF5" s="13" t="n">
        <v>65.5</v>
      </c>
      <c r="AG5" s="11" t="n">
        <v>59</v>
      </c>
      <c r="AH5" s="12" t="n">
        <v>1</v>
      </c>
      <c r="AI5" s="13" t="n">
        <v>60.5</v>
      </c>
      <c r="AJ5" s="11" t="n">
        <v>61</v>
      </c>
      <c r="AK5" s="12" t="n">
        <v>-7</v>
      </c>
      <c r="AL5" s="13" t="n">
        <v>54.3</v>
      </c>
      <c r="AM5" s="11" t="n">
        <v>54</v>
      </c>
      <c r="AN5" s="12" t="n">
        <v>-4</v>
      </c>
      <c r="AO5" s="13" t="n">
        <v>50.2</v>
      </c>
      <c r="AP5" s="11" t="n">
        <v>50</v>
      </c>
      <c r="AQ5" s="12" t="n">
        <v>-2</v>
      </c>
      <c r="AR5" s="13" t="n">
        <v>48.1</v>
      </c>
      <c r="AS5" s="11" t="n">
        <v>48</v>
      </c>
      <c r="AT5" s="12" t="n">
        <v>-3</v>
      </c>
      <c r="AU5" s="13" t="n">
        <v>45.6</v>
      </c>
      <c r="AV5" s="11" t="n">
        <v>46</v>
      </c>
      <c r="AW5" s="12" t="n">
        <v>-5</v>
      </c>
      <c r="AX5" s="13" t="n">
        <v>41.6</v>
      </c>
      <c r="AY5" s="11" t="n">
        <v>42</v>
      </c>
      <c r="AZ5" s="12" t="n">
        <v>2</v>
      </c>
      <c r="BA5" s="13" t="n">
        <v>43.7</v>
      </c>
      <c r="BB5" s="11" t="n">
        <v>44</v>
      </c>
      <c r="BC5" s="12" t="n">
        <v>2</v>
      </c>
      <c r="BD5" s="13" t="n">
        <v>46.3</v>
      </c>
      <c r="BE5" s="11" t="n">
        <v>46</v>
      </c>
      <c r="BF5" s="12" t="n">
        <v>-5</v>
      </c>
      <c r="BG5" s="13" t="n">
        <v>41.3</v>
      </c>
      <c r="BH5" s="11" t="n">
        <v>41</v>
      </c>
      <c r="BI5" s="12" t="n">
        <v>-5</v>
      </c>
      <c r="BJ5" s="13" t="n">
        <v>36.5</v>
      </c>
      <c r="BK5" s="11" t="n">
        <v>37</v>
      </c>
      <c r="BL5" s="12" t="n">
        <v>-2</v>
      </c>
      <c r="BM5" s="13" t="n">
        <v>35.4</v>
      </c>
      <c r="BN5" s="11" t="n">
        <v>35</v>
      </c>
      <c r="BO5" s="12" t="n">
        <v>0</v>
      </c>
      <c r="BP5" s="13" t="n">
        <v>35.6</v>
      </c>
      <c r="BQ5" s="11" t="n">
        <v>36</v>
      </c>
      <c r="BR5" s="12" t="n">
        <v>-3</v>
      </c>
      <c r="BS5" s="13" t="n">
        <v>32.8</v>
      </c>
    </row>
    <row r="6">
      <c r="A6" s="14" t="n">
        <v>45965</v>
      </c>
      <c r="B6" s="15" t="inlineStr">
        <is>
          <t>PFV-ELROMERO</t>
        </is>
      </c>
      <c r="C6" s="11" t="n">
        <v>0</v>
      </c>
      <c r="D6" s="12" t="n">
        <v>0</v>
      </c>
      <c r="E6" s="13" t="n">
        <v>4.5</v>
      </c>
      <c r="F6" s="11" t="n">
        <v>4</v>
      </c>
      <c r="G6" s="12" t="n">
        <v>30</v>
      </c>
      <c r="H6" s="13" t="n">
        <v>34.3</v>
      </c>
      <c r="I6" s="11" t="n">
        <v>33</v>
      </c>
      <c r="J6" s="12" t="n">
        <v>4</v>
      </c>
      <c r="K6" s="13" t="n">
        <v>36.7</v>
      </c>
      <c r="L6" s="11" t="n">
        <v>33</v>
      </c>
      <c r="M6" s="12" t="n">
        <v>12</v>
      </c>
      <c r="N6" s="13" t="n">
        <v>45.1</v>
      </c>
      <c r="O6" s="11" t="n">
        <v>47</v>
      </c>
      <c r="P6" s="12" t="n">
        <v>10</v>
      </c>
      <c r="Q6" s="13" t="n">
        <v>56.4</v>
      </c>
      <c r="R6" s="11" t="n">
        <v>49</v>
      </c>
      <c r="S6" s="12" t="n">
        <v>22</v>
      </c>
      <c r="T6" s="13" t="n">
        <v>71.09999999999999</v>
      </c>
      <c r="U6" s="11" t="n">
        <v>78</v>
      </c>
      <c r="V6" s="12" t="n">
        <v>-1</v>
      </c>
      <c r="W6" s="13" t="n">
        <v>77.90000000000001</v>
      </c>
      <c r="X6" s="11" t="n">
        <v>79</v>
      </c>
      <c r="Y6" s="12" t="n">
        <v>18</v>
      </c>
      <c r="Z6" s="13" t="n">
        <v>96.90000000000001</v>
      </c>
      <c r="AA6" s="11" t="n">
        <v>98</v>
      </c>
      <c r="AB6" s="12" t="n">
        <v>9</v>
      </c>
      <c r="AC6" s="13" t="n">
        <v>107.7</v>
      </c>
      <c r="AD6" s="11" t="n">
        <v>96</v>
      </c>
      <c r="AE6" s="12" t="n">
        <v>23</v>
      </c>
      <c r="AF6" s="13" t="n">
        <v>118.7</v>
      </c>
      <c r="AG6" s="11" t="n">
        <v>52</v>
      </c>
      <c r="AH6" s="12" t="n">
        <v>57</v>
      </c>
      <c r="AI6" s="13" t="n">
        <v>109.6</v>
      </c>
      <c r="AJ6" s="11" t="n">
        <v>58</v>
      </c>
      <c r="AK6" s="12" t="n">
        <v>40</v>
      </c>
      <c r="AL6" s="13" t="n">
        <v>98.40000000000001</v>
      </c>
      <c r="AM6" s="11" t="n">
        <v>91</v>
      </c>
      <c r="AN6" s="12" t="n">
        <v>0</v>
      </c>
      <c r="AO6" s="13" t="n">
        <v>91</v>
      </c>
      <c r="AP6" s="11" t="n">
        <v>62</v>
      </c>
      <c r="AQ6" s="12" t="n">
        <v>25</v>
      </c>
      <c r="AR6" s="13" t="n">
        <v>87.2</v>
      </c>
      <c r="AS6" s="11" t="n">
        <v>58</v>
      </c>
      <c r="AT6" s="12" t="n">
        <v>25</v>
      </c>
      <c r="AU6" s="13" t="n">
        <v>82.7</v>
      </c>
      <c r="AV6" s="11" t="n">
        <v>43</v>
      </c>
      <c r="AW6" s="12" t="n">
        <v>32</v>
      </c>
      <c r="AX6" s="13" t="n">
        <v>75.40000000000001</v>
      </c>
      <c r="AY6" s="11" t="n">
        <v>74</v>
      </c>
      <c r="AZ6" s="12" t="n">
        <v>5</v>
      </c>
      <c r="BA6" s="13" t="n">
        <v>79.3</v>
      </c>
      <c r="BB6" s="11" t="n">
        <v>78</v>
      </c>
      <c r="BC6" s="12" t="n">
        <v>5</v>
      </c>
      <c r="BD6" s="13" t="n">
        <v>83.90000000000001</v>
      </c>
      <c r="BE6" s="11" t="n">
        <v>84</v>
      </c>
      <c r="BF6" s="12" t="n">
        <v>-9</v>
      </c>
      <c r="BG6" s="13" t="n">
        <v>74.90000000000001</v>
      </c>
      <c r="BH6" s="11" t="n">
        <v>75</v>
      </c>
      <c r="BI6" s="12" t="n">
        <v>-8</v>
      </c>
      <c r="BJ6" s="13" t="n">
        <v>66.3</v>
      </c>
      <c r="BK6" s="11" t="n">
        <v>74</v>
      </c>
      <c r="BL6" s="12" t="n">
        <v>-10</v>
      </c>
      <c r="BM6" s="13" t="n">
        <v>64.2</v>
      </c>
      <c r="BN6" s="11" t="n">
        <v>33</v>
      </c>
      <c r="BO6" s="12" t="n">
        <v>5</v>
      </c>
      <c r="BP6" s="13" t="n">
        <v>38.5</v>
      </c>
      <c r="BQ6" s="11" t="n">
        <v>24</v>
      </c>
      <c r="BR6" s="12" t="n">
        <v>5</v>
      </c>
      <c r="BS6" s="13" t="n">
        <v>29.9</v>
      </c>
    </row>
    <row r="7">
      <c r="A7" s="9" t="n">
        <v>45965</v>
      </c>
      <c r="B7" s="10" t="inlineStr">
        <is>
          <t>PFV-LAHUELLA</t>
        </is>
      </c>
      <c r="C7" s="11" t="n">
        <v>2</v>
      </c>
      <c r="D7" s="12" t="n">
        <v>0</v>
      </c>
      <c r="E7" s="13" t="n">
        <v>1.6</v>
      </c>
      <c r="F7" s="11" t="n">
        <v>2</v>
      </c>
      <c r="G7" s="12" t="n">
        <v>13</v>
      </c>
      <c r="H7" s="13" t="n">
        <v>14.9</v>
      </c>
      <c r="I7" s="11" t="n">
        <v>2</v>
      </c>
      <c r="J7" s="12" t="n">
        <v>14</v>
      </c>
      <c r="K7" s="13" t="n">
        <v>15.9</v>
      </c>
      <c r="L7" s="11" t="n">
        <v>15</v>
      </c>
      <c r="M7" s="12" t="n">
        <v>5</v>
      </c>
      <c r="N7" s="13" t="n">
        <v>19.6</v>
      </c>
      <c r="O7" s="11" t="n">
        <v>20</v>
      </c>
      <c r="P7" s="12" t="n">
        <v>6</v>
      </c>
      <c r="Q7" s="13" t="n">
        <v>25.6</v>
      </c>
      <c r="R7" s="11" t="n">
        <v>26</v>
      </c>
      <c r="S7" s="12" t="n">
        <v>7</v>
      </c>
      <c r="T7" s="13" t="n">
        <v>32.6</v>
      </c>
      <c r="U7" s="11" t="n">
        <v>33</v>
      </c>
      <c r="V7" s="12" t="n">
        <v>1</v>
      </c>
      <c r="W7" s="13" t="n">
        <v>33.8</v>
      </c>
      <c r="X7" s="11" t="n">
        <v>37</v>
      </c>
      <c r="Y7" s="12" t="n">
        <v>5</v>
      </c>
      <c r="Z7" s="13" t="n">
        <v>42.4</v>
      </c>
      <c r="AA7" s="11" t="n">
        <v>42</v>
      </c>
      <c r="AB7" s="12" t="n">
        <v>5</v>
      </c>
      <c r="AC7" s="13" t="n">
        <v>46.7</v>
      </c>
      <c r="AD7" s="11" t="n">
        <v>47</v>
      </c>
      <c r="AE7" s="12" t="n">
        <v>4</v>
      </c>
      <c r="AF7" s="13" t="n">
        <v>51.5</v>
      </c>
      <c r="AG7" s="11" t="n">
        <v>52</v>
      </c>
      <c r="AH7" s="12" t="n">
        <v>-5</v>
      </c>
      <c r="AI7" s="13" t="n">
        <v>47.5</v>
      </c>
      <c r="AJ7" s="11" t="n">
        <v>48</v>
      </c>
      <c r="AK7" s="12" t="n">
        <v>-6</v>
      </c>
      <c r="AL7" s="13" t="n">
        <v>42.7</v>
      </c>
      <c r="AM7" s="11" t="n">
        <v>43</v>
      </c>
      <c r="AN7" s="12" t="n">
        <v>-4</v>
      </c>
      <c r="AO7" s="13" t="n">
        <v>39.5</v>
      </c>
      <c r="AP7" s="11" t="n">
        <v>40</v>
      </c>
      <c r="AQ7" s="12" t="n">
        <v>-2</v>
      </c>
      <c r="AR7" s="13" t="n">
        <v>37.8</v>
      </c>
      <c r="AS7" s="11" t="n">
        <v>38</v>
      </c>
      <c r="AT7" s="12" t="n">
        <v>-2</v>
      </c>
      <c r="AU7" s="13" t="n">
        <v>35.9</v>
      </c>
      <c r="AV7" s="11" t="n">
        <v>36</v>
      </c>
      <c r="AW7" s="12" t="n">
        <v>-3</v>
      </c>
      <c r="AX7" s="13" t="n">
        <v>32.7</v>
      </c>
      <c r="AY7" s="11" t="n">
        <v>33</v>
      </c>
      <c r="AZ7" s="12" t="n">
        <v>1</v>
      </c>
      <c r="BA7" s="13" t="n">
        <v>34.4</v>
      </c>
      <c r="BB7" s="11" t="n">
        <v>34</v>
      </c>
      <c r="BC7" s="12" t="n">
        <v>2</v>
      </c>
      <c r="BD7" s="13" t="n">
        <v>36.4</v>
      </c>
      <c r="BE7" s="11" t="n">
        <v>36</v>
      </c>
      <c r="BF7" s="12" t="n">
        <v>-4</v>
      </c>
      <c r="BG7" s="13" t="n">
        <v>32.5</v>
      </c>
      <c r="BH7" s="11" t="n">
        <v>33</v>
      </c>
      <c r="BI7" s="12" t="n">
        <v>-4</v>
      </c>
      <c r="BJ7" s="13" t="n">
        <v>28.7</v>
      </c>
      <c r="BK7" s="11" t="n">
        <v>29</v>
      </c>
      <c r="BL7" s="12" t="n">
        <v>-1</v>
      </c>
      <c r="BM7" s="13" t="n">
        <v>27.9</v>
      </c>
      <c r="BN7" s="11" t="n">
        <v>28</v>
      </c>
      <c r="BO7" s="12" t="n">
        <v>0</v>
      </c>
      <c r="BP7" s="13" t="n">
        <v>28</v>
      </c>
      <c r="BQ7" s="11" t="n">
        <v>28</v>
      </c>
      <c r="BR7" s="12" t="n">
        <v>-2</v>
      </c>
      <c r="BS7" s="13" t="n">
        <v>25.8</v>
      </c>
    </row>
    <row r="10">
      <c r="E10" s="16" t="inlineStr">
        <is>
          <t>suma total</t>
        </is>
      </c>
      <c r="F10" s="17" t="inlineStr">
        <is>
          <t>GEN.ACTUAL</t>
        </is>
      </c>
      <c r="G10" s="17" t="inlineStr">
        <is>
          <t>MONTO</t>
        </is>
      </c>
      <c r="H10" s="17" t="inlineStr">
        <is>
          <t>CONSIGNA</t>
        </is>
      </c>
    </row>
    <row r="11">
      <c r="E11" s="18" t="inlineStr">
        <is>
          <t>PFV-ELPELICANO</t>
        </is>
      </c>
      <c r="F11" s="19">
        <f>SUM(C5,F5,I5,L5,O5,R5,U5,X5,AA5,AD5,AG5,AJ5,AM5,AP5,AS5,AV5,AY5,BB5,BE5,BH5,BK5,BN5,BQ5)</f>
        <v/>
      </c>
      <c r="G11" s="20">
        <f>SUM(D5,G5,J5,M5,P5,S5,V5,Y5,AB5,AE5,AH5,AK5,AN5,AQ5,AT5,AW5,AZ5,BC5,BF5,BI5,BL5,BO5,BR5)</f>
        <v/>
      </c>
      <c r="H11" s="21">
        <f>SUM(E5,H5,K5,N5,Q5,T5,W5,Z5,AC5,AF5,AI5,AL5,AO5,AR5,AU5,AX5,BA5,BD5,BG5,BJ5,BM5,BP5,BS5)</f>
        <v/>
      </c>
    </row>
    <row r="12">
      <c r="E12" s="18" t="inlineStr">
        <is>
          <t>PFV-ELROMERO</t>
        </is>
      </c>
      <c r="F12" s="19">
        <f>SUM(C6,F6,I6,L6,O6,R6,U6,X6,AA6,AD6,AG6,AJ6,AM6,AP6,AS6,AV6,AY6,BB6,BE6,BH6,BK6,BN6,BQ6)</f>
        <v/>
      </c>
      <c r="G12" s="20">
        <f>SUM(D6,G6,J6,M6,P6,S6,V6,Y6,AB6,AE6,AH6,AK6,AN6,AQ6,AT6,AW6,AZ6,BC6,BF6,BI6,BL6,BO6,BR6)</f>
        <v/>
      </c>
      <c r="H12" s="21">
        <f>SUM(E6,H6,K6,N6,Q6,T6,W6,Z6,AC6,AF6,AI6,AL6,AO6,AR6,AU6,AX6,BA6,BD6,BG6,BJ6,BM6,BP6,BS6)</f>
        <v/>
      </c>
    </row>
    <row r="13">
      <c r="E13" s="18" t="inlineStr">
        <is>
          <t>PFV-LAHUELLA</t>
        </is>
      </c>
      <c r="F13" s="19">
        <f>SUM(C7,F7,I7,L7,O7,R7,U7,X7,AA7,AD7,AG7,AJ7,AM7,AP7,AS7,AV7,AY7,BB7,BE7,BH7,BK7,BN7,BQ7)</f>
        <v/>
      </c>
      <c r="G13" s="20">
        <f>SUM(D7,G7,J7,M7,P7,S7,V7,Y7,AB7,AE7,AH7,AK7,AN7,AQ7,AT7,AW7,AZ7,BC7,BF7,BI7,BL7,BO7,BR7)</f>
        <v/>
      </c>
      <c r="H13" s="21">
        <f>SUM(E7,H7,K7,N7,Q7,T7,W7,Z7,AC7,AF7,AI7,AL7,AO7,AR7,AU7,AX7,BA7,BD7,BG7,BJ7,BM7,BP7,BS7)</f>
        <v/>
      </c>
    </row>
    <row r="114">
      <c r="C114" t="inlineStr">
        <is>
          <t>07:15</t>
        </is>
      </c>
      <c r="D114" t="inlineStr">
        <is>
          <t>07:57</t>
        </is>
      </c>
      <c r="E114" t="inlineStr">
        <is>
          <t>08:04</t>
        </is>
      </c>
      <c r="F114" t="inlineStr">
        <is>
          <t>08:09</t>
        </is>
      </c>
      <c r="G114" t="inlineStr">
        <is>
          <t>08:19</t>
        </is>
      </c>
      <c r="H114" t="inlineStr">
        <is>
          <t>08:34</t>
        </is>
      </c>
      <c r="I114" t="inlineStr">
        <is>
          <t>08:56</t>
        </is>
      </c>
      <c r="J114" t="inlineStr">
        <is>
          <t>09:05</t>
        </is>
      </c>
      <c r="K114" t="inlineStr">
        <is>
          <t>09:38</t>
        </is>
      </c>
      <c r="L114" t="inlineStr">
        <is>
          <t>10:06</t>
        </is>
      </c>
      <c r="M114" t="inlineStr">
        <is>
          <t>11:22</t>
        </is>
      </c>
      <c r="N114" t="inlineStr">
        <is>
          <t>12:17</t>
        </is>
      </c>
      <c r="O114" t="inlineStr">
        <is>
          <t>13:44</t>
        </is>
      </c>
      <c r="P114" t="inlineStr">
        <is>
          <t>14:10</t>
        </is>
      </c>
      <c r="Q114" t="inlineStr">
        <is>
          <t>14:21</t>
        </is>
      </c>
      <c r="R114" t="inlineStr">
        <is>
          <t>14:43</t>
        </is>
      </c>
      <c r="S114" t="inlineStr">
        <is>
          <t>16:16</t>
        </is>
      </c>
      <c r="T114" t="inlineStr">
        <is>
          <t>16:30</t>
        </is>
      </c>
      <c r="U114" t="inlineStr">
        <is>
          <t>17:06</t>
        </is>
      </c>
      <c r="V114" t="inlineStr">
        <is>
          <t>17:32</t>
        </is>
      </c>
      <c r="W114" t="inlineStr">
        <is>
          <t>18:00</t>
        </is>
      </c>
      <c r="X114" t="inlineStr">
        <is>
          <t>18:42</t>
        </is>
      </c>
      <c r="Y114" t="inlineStr">
        <is>
          <t>18:51</t>
        </is>
      </c>
    </row>
    <row r="115">
      <c r="C115" t="n">
        <v>1</v>
      </c>
      <c r="D115" t="n">
        <v>7</v>
      </c>
      <c r="E115" t="n">
        <v>19</v>
      </c>
      <c r="F115" t="n">
        <v>20</v>
      </c>
      <c r="G115" t="n">
        <v>25</v>
      </c>
      <c r="H115" t="n">
        <v>33</v>
      </c>
      <c r="I115" t="n">
        <v>42</v>
      </c>
      <c r="J115" t="n">
        <v>48</v>
      </c>
      <c r="K115" t="n">
        <v>58</v>
      </c>
      <c r="L115" t="n">
        <v>59</v>
      </c>
      <c r="M115" t="n">
        <v>59</v>
      </c>
      <c r="N115" t="n">
        <v>61</v>
      </c>
      <c r="O115" t="n">
        <v>54</v>
      </c>
      <c r="P115" t="n">
        <v>50</v>
      </c>
      <c r="Q115" t="n">
        <v>48</v>
      </c>
      <c r="R115" t="n">
        <v>46</v>
      </c>
      <c r="S115" t="n">
        <v>42</v>
      </c>
      <c r="T115" t="n">
        <v>44</v>
      </c>
      <c r="U115" t="n">
        <v>46</v>
      </c>
      <c r="V115" t="n">
        <v>41</v>
      </c>
      <c r="W115" t="n">
        <v>37</v>
      </c>
      <c r="X115" t="n">
        <v>35</v>
      </c>
      <c r="Y115" t="n">
        <v>36</v>
      </c>
    </row>
    <row r="116">
      <c r="C116" t="n">
        <v>0</v>
      </c>
      <c r="D116" t="n">
        <v>4</v>
      </c>
      <c r="E116" t="n">
        <v>33</v>
      </c>
      <c r="F116" t="n">
        <v>33</v>
      </c>
      <c r="G116" t="n">
        <v>47</v>
      </c>
      <c r="H116" t="n">
        <v>49</v>
      </c>
      <c r="I116" t="n">
        <v>78</v>
      </c>
      <c r="J116" t="n">
        <v>79</v>
      </c>
      <c r="K116" t="n">
        <v>98</v>
      </c>
      <c r="L116" t="n">
        <v>96</v>
      </c>
      <c r="M116" t="n">
        <v>52</v>
      </c>
      <c r="N116" t="n">
        <v>58</v>
      </c>
      <c r="O116" t="n">
        <v>91</v>
      </c>
      <c r="P116" t="n">
        <v>62</v>
      </c>
      <c r="Q116" t="n">
        <v>58</v>
      </c>
      <c r="R116" t="n">
        <v>43</v>
      </c>
      <c r="S116" t="n">
        <v>74</v>
      </c>
      <c r="T116" t="n">
        <v>78</v>
      </c>
      <c r="U116" t="n">
        <v>84</v>
      </c>
      <c r="V116" t="n">
        <v>75</v>
      </c>
      <c r="W116" t="n">
        <v>74</v>
      </c>
      <c r="X116" t="n">
        <v>33</v>
      </c>
      <c r="Y116" t="n">
        <v>24</v>
      </c>
    </row>
    <row r="117">
      <c r="C117" t="n">
        <v>2</v>
      </c>
      <c r="D117" t="n">
        <v>2</v>
      </c>
      <c r="E117" t="n">
        <v>2</v>
      </c>
      <c r="F117" t="n">
        <v>15</v>
      </c>
      <c r="G117" t="n">
        <v>20</v>
      </c>
      <c r="H117" t="n">
        <v>26</v>
      </c>
      <c r="I117" t="n">
        <v>33</v>
      </c>
      <c r="J117" t="n">
        <v>37</v>
      </c>
      <c r="K117" t="n">
        <v>42</v>
      </c>
      <c r="L117" t="n">
        <v>47</v>
      </c>
      <c r="M117" t="n">
        <v>52</v>
      </c>
      <c r="N117" t="n">
        <v>48</v>
      </c>
      <c r="O117" t="n">
        <v>43</v>
      </c>
      <c r="P117" t="n">
        <v>40</v>
      </c>
      <c r="Q117" t="n">
        <v>38</v>
      </c>
      <c r="R117" t="n">
        <v>36</v>
      </c>
      <c r="S117" t="n">
        <v>33</v>
      </c>
      <c r="T117" t="n">
        <v>34</v>
      </c>
      <c r="U117" t="n">
        <v>36</v>
      </c>
      <c r="V117" t="n">
        <v>33</v>
      </c>
      <c r="W117" t="n">
        <v>29</v>
      </c>
      <c r="X117" t="n">
        <v>28</v>
      </c>
      <c r="Y117" t="n">
        <v>28</v>
      </c>
    </row>
  </sheetData>
  <mergeCells count="25">
    <mergeCell ref="BN3:BP3"/>
    <mergeCell ref="B3:B4"/>
    <mergeCell ref="X3:Z3"/>
    <mergeCell ref="AJ3:AL3"/>
    <mergeCell ref="I3:K3"/>
    <mergeCell ref="U3:W3"/>
    <mergeCell ref="BK3:BM3"/>
    <mergeCell ref="BQ3:BS3"/>
    <mergeCell ref="R3:T3"/>
    <mergeCell ref="A3:A4"/>
    <mergeCell ref="AG3:AI3"/>
    <mergeCell ref="AA3:AC3"/>
    <mergeCell ref="AM3:AO3"/>
    <mergeCell ref="AS3:AU3"/>
    <mergeCell ref="C3:E3"/>
    <mergeCell ref="AD3:AF3"/>
    <mergeCell ref="AY3:BA3"/>
    <mergeCell ref="BE3:BG3"/>
    <mergeCell ref="AP3:AR3"/>
    <mergeCell ref="O3:Q3"/>
    <mergeCell ref="BB3:BD3"/>
    <mergeCell ref="AV3:AX3"/>
    <mergeCell ref="F3:H3"/>
    <mergeCell ref="L3:N3"/>
    <mergeCell ref="BH3:BJ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</cols>
  <sheetData>
    <row r="1" ht="2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</row>
    <row r="2" ht="27" customHeight="1">
      <c r="A2" s="2" t="n"/>
    </row>
    <row r="3">
      <c r="A3" s="3" t="inlineStr">
        <is>
          <t>FECHA</t>
        </is>
      </c>
      <c r="B3" s="4" t="inlineStr">
        <is>
          <t>GENERADORA</t>
        </is>
      </c>
      <c r="C3" s="4" t="inlineStr">
        <is>
          <t>HORA 07:24:00</t>
        </is>
      </c>
      <c r="D3" s="5" t="n"/>
      <c r="E3" s="6" t="n"/>
      <c r="F3" s="4" t="inlineStr">
        <is>
          <t>HORA 07:46:00</t>
        </is>
      </c>
      <c r="G3" s="5" t="n"/>
      <c r="H3" s="6" t="n"/>
      <c r="I3" s="4" t="inlineStr">
        <is>
          <t>HORA 08:06:00</t>
        </is>
      </c>
      <c r="J3" s="5" t="n"/>
      <c r="K3" s="6" t="n"/>
      <c r="L3" s="4" t="inlineStr">
        <is>
          <t>HORA 08:21:00</t>
        </is>
      </c>
      <c r="M3" s="5" t="n"/>
      <c r="N3" s="6" t="n"/>
      <c r="O3" s="4" t="inlineStr">
        <is>
          <t>HORA 08:50:00</t>
        </is>
      </c>
      <c r="P3" s="5" t="n"/>
      <c r="Q3" s="6" t="n"/>
      <c r="R3" s="4" t="inlineStr">
        <is>
          <t>HORA 10:56:00</t>
        </is>
      </c>
      <c r="S3" s="5" t="n"/>
      <c r="T3" s="6" t="n"/>
      <c r="U3" s="4" t="inlineStr">
        <is>
          <t>HORA 11:10:00</t>
        </is>
      </c>
      <c r="V3" s="5" t="n"/>
      <c r="W3" s="6" t="n"/>
      <c r="X3" s="4" t="inlineStr">
        <is>
          <t>HORA 12:21:00</t>
        </is>
      </c>
      <c r="Y3" s="5" t="n"/>
      <c r="Z3" s="6" t="n"/>
      <c r="AA3" s="4" t="inlineStr">
        <is>
          <t>HORA 12:27:00</t>
        </is>
      </c>
      <c r="AB3" s="5" t="n"/>
      <c r="AC3" s="6" t="n"/>
      <c r="AD3" s="4" t="inlineStr">
        <is>
          <t>HORA 13:07:00</t>
        </is>
      </c>
      <c r="AE3" s="5" t="n"/>
      <c r="AF3" s="6" t="n"/>
      <c r="AG3" s="4" t="inlineStr">
        <is>
          <t>HORA 13:25:00</t>
        </is>
      </c>
      <c r="AH3" s="5" t="n"/>
      <c r="AI3" s="6" t="n"/>
      <c r="AJ3" s="4" t="inlineStr">
        <is>
          <t>HORA 13:29:00</t>
        </is>
      </c>
      <c r="AK3" s="5" t="n"/>
      <c r="AL3" s="6" t="n"/>
      <c r="AM3" s="4" t="inlineStr">
        <is>
          <t>HORA 13:54:00</t>
        </is>
      </c>
      <c r="AN3" s="5" t="n"/>
      <c r="AO3" s="6" t="n"/>
      <c r="AP3" s="4" t="inlineStr">
        <is>
          <t>HORA 14:10:00</t>
        </is>
      </c>
      <c r="AQ3" s="5" t="n"/>
      <c r="AR3" s="6" t="n"/>
      <c r="AS3" s="4" t="inlineStr">
        <is>
          <t>HORA 14:23:00</t>
        </is>
      </c>
      <c r="AT3" s="5" t="n"/>
      <c r="AU3" s="6" t="n"/>
      <c r="AV3" s="4" t="inlineStr">
        <is>
          <t>HORA 14:55:00</t>
        </is>
      </c>
      <c r="AW3" s="5" t="n"/>
      <c r="AX3" s="6" t="n"/>
      <c r="AY3" s="4" t="inlineStr">
        <is>
          <t>HORA 15:23:00</t>
        </is>
      </c>
      <c r="AZ3" s="5" t="n"/>
      <c r="BA3" s="6" t="n"/>
      <c r="BB3" s="4" t="inlineStr">
        <is>
          <t>HORA 16:09:00</t>
        </is>
      </c>
      <c r="BC3" s="5" t="n"/>
      <c r="BD3" s="6" t="n"/>
      <c r="BE3" s="4" t="inlineStr">
        <is>
          <t>HORA 16:22:00</t>
        </is>
      </c>
      <c r="BF3" s="5" t="n"/>
      <c r="BG3" s="6" t="n"/>
      <c r="BH3" s="4" t="inlineStr">
        <is>
          <t>HORA 16:40:00</t>
        </is>
      </c>
      <c r="BI3" s="5" t="n"/>
      <c r="BJ3" s="6" t="n"/>
      <c r="BK3" s="4" t="inlineStr">
        <is>
          <t>HORA 17:25:00</t>
        </is>
      </c>
      <c r="BL3" s="5" t="n"/>
      <c r="BM3" s="6" t="n"/>
      <c r="BN3" s="4" t="inlineStr">
        <is>
          <t>HORA 17:53:00</t>
        </is>
      </c>
      <c r="BO3" s="5" t="n"/>
      <c r="BP3" s="6" t="n"/>
      <c r="BQ3" s="4" t="inlineStr">
        <is>
          <t>HORA 18:02:00</t>
        </is>
      </c>
      <c r="BR3" s="5" t="n"/>
      <c r="BS3" s="6" t="n"/>
      <c r="BT3" s="4" t="inlineStr">
        <is>
          <t>HORA 18:35:00</t>
        </is>
      </c>
      <c r="BU3" s="5" t="n"/>
      <c r="BV3" s="6" t="n"/>
      <c r="BW3" s="4" t="inlineStr">
        <is>
          <t>HORA 18:44:00</t>
        </is>
      </c>
      <c r="BX3" s="5" t="n"/>
      <c r="BY3" s="6" t="n"/>
      <c r="BZ3" s="4" t="inlineStr">
        <is>
          <t>HORA 18:51:00</t>
        </is>
      </c>
      <c r="CA3" s="5" t="n"/>
      <c r="CB3" s="6" t="n"/>
      <c r="CC3" s="4" t="inlineStr">
        <is>
          <t>HORA 19:05:00</t>
        </is>
      </c>
      <c r="CD3" s="5" t="n"/>
      <c r="CE3" s="6" t="n"/>
    </row>
    <row r="4">
      <c r="A4" s="7" t="n"/>
      <c r="B4" s="7" t="n"/>
      <c r="C4" s="8" t="inlineStr">
        <is>
          <t>GEN.ACTUAL</t>
        </is>
      </c>
      <c r="D4" s="8" t="inlineStr">
        <is>
          <t>MONTO</t>
        </is>
      </c>
      <c r="E4" s="8" t="inlineStr">
        <is>
          <t>CONSIGNA</t>
        </is>
      </c>
      <c r="F4" s="8" t="inlineStr">
        <is>
          <t>GEN.ACTUAL</t>
        </is>
      </c>
      <c r="G4" s="8" t="inlineStr">
        <is>
          <t>MONTO</t>
        </is>
      </c>
      <c r="H4" s="8" t="inlineStr">
        <is>
          <t>CONSIGNA</t>
        </is>
      </c>
      <c r="I4" s="8" t="inlineStr">
        <is>
          <t>GEN.ACTUAL</t>
        </is>
      </c>
      <c r="J4" s="8" t="inlineStr">
        <is>
          <t>MONTO</t>
        </is>
      </c>
      <c r="K4" s="8" t="inlineStr">
        <is>
          <t>CONSIGNA</t>
        </is>
      </c>
      <c r="L4" s="8" t="inlineStr">
        <is>
          <t>GEN.ACTUAL</t>
        </is>
      </c>
      <c r="M4" s="8" t="inlineStr">
        <is>
          <t>MONTO</t>
        </is>
      </c>
      <c r="N4" s="8" t="inlineStr">
        <is>
          <t>CONSIGNA</t>
        </is>
      </c>
      <c r="O4" s="8" t="inlineStr">
        <is>
          <t>GEN.ACTUAL</t>
        </is>
      </c>
      <c r="P4" s="8" t="inlineStr">
        <is>
          <t>MONTO</t>
        </is>
      </c>
      <c r="Q4" s="8" t="inlineStr">
        <is>
          <t>CONSIGNA</t>
        </is>
      </c>
      <c r="R4" s="8" t="inlineStr">
        <is>
          <t>GEN.ACTUAL</t>
        </is>
      </c>
      <c r="S4" s="8" t="inlineStr">
        <is>
          <t>MONTO</t>
        </is>
      </c>
      <c r="T4" s="8" t="inlineStr">
        <is>
          <t>CONSIGNA</t>
        </is>
      </c>
      <c r="U4" s="8" t="inlineStr">
        <is>
          <t>GEN.ACTUAL</t>
        </is>
      </c>
      <c r="V4" s="8" t="inlineStr">
        <is>
          <t>MONTO</t>
        </is>
      </c>
      <c r="W4" s="8" t="inlineStr">
        <is>
          <t>CONSIGNA</t>
        </is>
      </c>
      <c r="X4" s="8" t="inlineStr">
        <is>
          <t>GEN.ACTUAL</t>
        </is>
      </c>
      <c r="Y4" s="8" t="inlineStr">
        <is>
          <t>MONTO</t>
        </is>
      </c>
      <c r="Z4" s="8" t="inlineStr">
        <is>
          <t>CONSIGNA</t>
        </is>
      </c>
      <c r="AA4" s="8" t="inlineStr">
        <is>
          <t>GEN.ACTUAL</t>
        </is>
      </c>
      <c r="AB4" s="8" t="inlineStr">
        <is>
          <t>MONTO</t>
        </is>
      </c>
      <c r="AC4" s="8" t="inlineStr">
        <is>
          <t>CONSIGNA</t>
        </is>
      </c>
      <c r="AD4" s="8" t="inlineStr">
        <is>
          <t>GEN.ACTUAL</t>
        </is>
      </c>
      <c r="AE4" s="8" t="inlineStr">
        <is>
          <t>MONTO</t>
        </is>
      </c>
      <c r="AF4" s="8" t="inlineStr">
        <is>
          <t>CONSIGNA</t>
        </is>
      </c>
      <c r="AG4" s="8" t="inlineStr">
        <is>
          <t>GEN.ACTUAL</t>
        </is>
      </c>
      <c r="AH4" s="8" t="inlineStr">
        <is>
          <t>MONTO</t>
        </is>
      </c>
      <c r="AI4" s="8" t="inlineStr">
        <is>
          <t>CONSIGNA</t>
        </is>
      </c>
      <c r="AJ4" s="8" t="inlineStr">
        <is>
          <t>GEN.ACTUAL</t>
        </is>
      </c>
      <c r="AK4" s="8" t="inlineStr">
        <is>
          <t>MONTO</t>
        </is>
      </c>
      <c r="AL4" s="8" t="inlineStr">
        <is>
          <t>CONSIGNA</t>
        </is>
      </c>
      <c r="AM4" s="8" t="inlineStr">
        <is>
          <t>GEN.ACTUAL</t>
        </is>
      </c>
      <c r="AN4" s="8" t="inlineStr">
        <is>
          <t>MONTO</t>
        </is>
      </c>
      <c r="AO4" s="8" t="inlineStr">
        <is>
          <t>CONSIGNA</t>
        </is>
      </c>
      <c r="AP4" s="8" t="inlineStr">
        <is>
          <t>GEN.ACTUAL</t>
        </is>
      </c>
      <c r="AQ4" s="8" t="inlineStr">
        <is>
          <t>MONTO</t>
        </is>
      </c>
      <c r="AR4" s="8" t="inlineStr">
        <is>
          <t>CONSIGNA</t>
        </is>
      </c>
      <c r="AS4" s="8" t="inlineStr">
        <is>
          <t>GEN.ACTUAL</t>
        </is>
      </c>
      <c r="AT4" s="8" t="inlineStr">
        <is>
          <t>MONTO</t>
        </is>
      </c>
      <c r="AU4" s="8" t="inlineStr">
        <is>
          <t>CONSIGNA</t>
        </is>
      </c>
      <c r="AV4" s="8" t="inlineStr">
        <is>
          <t>GEN.ACTUAL</t>
        </is>
      </c>
      <c r="AW4" s="8" t="inlineStr">
        <is>
          <t>MONTO</t>
        </is>
      </c>
      <c r="AX4" s="8" t="inlineStr">
        <is>
          <t>CONSIGNA</t>
        </is>
      </c>
      <c r="AY4" s="8" t="inlineStr">
        <is>
          <t>GEN.ACTUAL</t>
        </is>
      </c>
      <c r="AZ4" s="8" t="inlineStr">
        <is>
          <t>MONTO</t>
        </is>
      </c>
      <c r="BA4" s="8" t="inlineStr">
        <is>
          <t>CONSIGNA</t>
        </is>
      </c>
      <c r="BB4" s="8" t="inlineStr">
        <is>
          <t>GEN.ACTUAL</t>
        </is>
      </c>
      <c r="BC4" s="8" t="inlineStr">
        <is>
          <t>MONTO</t>
        </is>
      </c>
      <c r="BD4" s="8" t="inlineStr">
        <is>
          <t>CONSIGNA</t>
        </is>
      </c>
      <c r="BE4" s="8" t="inlineStr">
        <is>
          <t>GEN.ACTUAL</t>
        </is>
      </c>
      <c r="BF4" s="8" t="inlineStr">
        <is>
          <t>MONTO</t>
        </is>
      </c>
      <c r="BG4" s="8" t="inlineStr">
        <is>
          <t>CONSIGNA</t>
        </is>
      </c>
      <c r="BH4" s="8" t="inlineStr">
        <is>
          <t>GEN.ACTUAL</t>
        </is>
      </c>
      <c r="BI4" s="8" t="inlineStr">
        <is>
          <t>MONTO</t>
        </is>
      </c>
      <c r="BJ4" s="8" t="inlineStr">
        <is>
          <t>CONSIGNA</t>
        </is>
      </c>
      <c r="BK4" s="8" t="inlineStr">
        <is>
          <t>GEN.ACTUAL</t>
        </is>
      </c>
      <c r="BL4" s="8" t="inlineStr">
        <is>
          <t>MONTO</t>
        </is>
      </c>
      <c r="BM4" s="8" t="inlineStr">
        <is>
          <t>CONSIGNA</t>
        </is>
      </c>
      <c r="BN4" s="8" t="inlineStr">
        <is>
          <t>GEN.ACTUAL</t>
        </is>
      </c>
      <c r="BO4" s="8" t="inlineStr">
        <is>
          <t>MONTO</t>
        </is>
      </c>
      <c r="BP4" s="8" t="inlineStr">
        <is>
          <t>CONSIGNA</t>
        </is>
      </c>
      <c r="BQ4" s="8" t="inlineStr">
        <is>
          <t>GEN.ACTUAL</t>
        </is>
      </c>
      <c r="BR4" s="8" t="inlineStr">
        <is>
          <t>MONTO</t>
        </is>
      </c>
      <c r="BS4" s="8" t="inlineStr">
        <is>
          <t>CONSIGNA</t>
        </is>
      </c>
      <c r="BT4" s="8" t="inlineStr">
        <is>
          <t>GEN.ACTUAL</t>
        </is>
      </c>
      <c r="BU4" s="8" t="inlineStr">
        <is>
          <t>MONTO</t>
        </is>
      </c>
      <c r="BV4" s="8" t="inlineStr">
        <is>
          <t>CONSIGNA</t>
        </is>
      </c>
      <c r="BW4" s="8" t="inlineStr">
        <is>
          <t>GEN.ACTUAL</t>
        </is>
      </c>
      <c r="BX4" s="8" t="inlineStr">
        <is>
          <t>MONTO</t>
        </is>
      </c>
      <c r="BY4" s="8" t="inlineStr">
        <is>
          <t>CONSIGNA</t>
        </is>
      </c>
      <c r="BZ4" s="8" t="inlineStr">
        <is>
          <t>GEN.ACTUAL</t>
        </is>
      </c>
      <c r="CA4" s="8" t="inlineStr">
        <is>
          <t>MONTO</t>
        </is>
      </c>
      <c r="CB4" s="8" t="inlineStr">
        <is>
          <t>CONSIGNA</t>
        </is>
      </c>
      <c r="CC4" s="8" t="inlineStr">
        <is>
          <t>GEN.ACTUAL</t>
        </is>
      </c>
      <c r="CD4" s="8" t="inlineStr">
        <is>
          <t>MONTO</t>
        </is>
      </c>
      <c r="CE4" s="8" t="inlineStr">
        <is>
          <t>CONSIGNA</t>
        </is>
      </c>
    </row>
    <row r="5">
      <c r="A5" s="9" t="n">
        <v>45966</v>
      </c>
      <c r="B5" s="10" t="inlineStr">
        <is>
          <t>PFV-ELPELICANO</t>
        </is>
      </c>
      <c r="C5" s="11" t="n">
        <v>14</v>
      </c>
      <c r="D5" s="12" t="n">
        <v>0</v>
      </c>
      <c r="E5" s="13" t="n">
        <v>14.3</v>
      </c>
      <c r="F5" s="11" t="n">
        <v>14</v>
      </c>
      <c r="G5" s="12" t="n">
        <v>10</v>
      </c>
      <c r="H5" s="13" t="n">
        <v>24.3</v>
      </c>
      <c r="I5" s="11" t="n">
        <v>24</v>
      </c>
      <c r="J5" s="12" t="n">
        <v>9</v>
      </c>
      <c r="K5" s="13" t="n">
        <v>32.8</v>
      </c>
      <c r="L5" s="11" t="n">
        <v>33</v>
      </c>
      <c r="M5" s="12" t="n">
        <v>7</v>
      </c>
      <c r="N5" s="13" t="n">
        <v>40</v>
      </c>
      <c r="O5" s="11" t="n">
        <v>40</v>
      </c>
      <c r="P5" s="12" t="n">
        <v>7</v>
      </c>
      <c r="Q5" s="13" t="n">
        <v>46.8</v>
      </c>
      <c r="R5" s="11" t="n">
        <v>103</v>
      </c>
      <c r="S5" s="12" t="n">
        <v>-29</v>
      </c>
      <c r="T5" s="13" t="n">
        <v>74.3</v>
      </c>
      <c r="U5" s="11" t="n">
        <v>104</v>
      </c>
      <c r="V5" s="12" t="n">
        <v>-23</v>
      </c>
      <c r="W5" s="13" t="n">
        <v>80.59999999999999</v>
      </c>
      <c r="X5" s="11" t="n">
        <v>14</v>
      </c>
      <c r="Y5" s="12" t="n">
        <v>56</v>
      </c>
      <c r="Z5" s="13" t="n">
        <v>70.5</v>
      </c>
      <c r="AA5" s="11" t="n">
        <v>14</v>
      </c>
      <c r="AB5" s="12" t="n">
        <v>49</v>
      </c>
      <c r="AC5" s="13" t="n">
        <v>63.4</v>
      </c>
      <c r="AD5" s="11" t="n">
        <v>63</v>
      </c>
      <c r="AE5" s="12" t="n">
        <v>-6</v>
      </c>
      <c r="AF5" s="13" t="n">
        <v>57.2</v>
      </c>
      <c r="AG5" s="11" t="n">
        <v>57</v>
      </c>
      <c r="AH5" s="12" t="n">
        <v>5</v>
      </c>
      <c r="AI5" s="13" t="n">
        <v>62.3</v>
      </c>
      <c r="AJ5" s="11" t="n">
        <v>57</v>
      </c>
      <c r="AK5" s="12" t="n">
        <v>-1</v>
      </c>
      <c r="AL5" s="13" t="n">
        <v>56</v>
      </c>
      <c r="AM5" s="11" t="n">
        <v>56</v>
      </c>
      <c r="AN5" s="12" t="n">
        <v>-5</v>
      </c>
      <c r="AO5" s="13" t="n">
        <v>50.9</v>
      </c>
      <c r="AP5" s="11" t="n">
        <v>51</v>
      </c>
      <c r="AQ5" s="12" t="n">
        <v>-7</v>
      </c>
      <c r="AR5" s="13" t="n">
        <v>44.4</v>
      </c>
      <c r="AS5" s="11" t="n">
        <v>44</v>
      </c>
      <c r="AT5" s="12" t="n">
        <v>3</v>
      </c>
      <c r="AU5" s="13" t="n">
        <v>47</v>
      </c>
      <c r="AV5" s="11" t="n">
        <v>47</v>
      </c>
      <c r="AW5" s="12" t="n">
        <v>-4</v>
      </c>
      <c r="AX5" s="13" t="n">
        <v>43.6</v>
      </c>
      <c r="AY5" s="11" t="n">
        <v>44</v>
      </c>
      <c r="AZ5" s="12" t="n">
        <v>2</v>
      </c>
      <c r="BA5" s="13" t="n">
        <v>45.7</v>
      </c>
      <c r="BB5" s="11" t="n">
        <v>46</v>
      </c>
      <c r="BC5" s="12" t="n">
        <v>-2</v>
      </c>
      <c r="BD5" s="13" t="n">
        <v>44.1</v>
      </c>
      <c r="BE5" s="11" t="n">
        <v>44</v>
      </c>
      <c r="BF5" s="12" t="n">
        <v>2</v>
      </c>
      <c r="BG5" s="13" t="n">
        <v>45.7</v>
      </c>
      <c r="BH5" s="11" t="n">
        <v>44</v>
      </c>
      <c r="BI5" s="12" t="n">
        <v>3</v>
      </c>
      <c r="BJ5" s="13" t="n">
        <v>46.9</v>
      </c>
      <c r="BK5" s="11" t="n">
        <v>47</v>
      </c>
      <c r="BL5" s="12" t="n">
        <v>-6</v>
      </c>
      <c r="BM5" s="13" t="n">
        <v>41.5</v>
      </c>
      <c r="BN5" s="11" t="n">
        <v>42</v>
      </c>
      <c r="BO5" s="12" t="n">
        <v>-0</v>
      </c>
      <c r="BP5" s="13" t="n">
        <v>41.7</v>
      </c>
      <c r="BQ5" s="11" t="n">
        <v>42</v>
      </c>
      <c r="BR5" s="12" t="n">
        <v>-6</v>
      </c>
      <c r="BS5" s="13" t="n">
        <v>35.7</v>
      </c>
      <c r="BT5" s="11" t="n">
        <v>36</v>
      </c>
      <c r="BU5" s="12" t="n">
        <v>12</v>
      </c>
      <c r="BV5" s="13" t="n">
        <v>48.1</v>
      </c>
      <c r="BW5" s="11" t="n">
        <v>36</v>
      </c>
      <c r="BX5" s="12" t="n">
        <v>5</v>
      </c>
      <c r="BY5" s="13" t="n">
        <v>41.1</v>
      </c>
      <c r="BZ5" s="11" t="n">
        <v>41</v>
      </c>
      <c r="CA5" s="12" t="n">
        <v>-9</v>
      </c>
      <c r="CB5" s="13" t="n">
        <v>32.5</v>
      </c>
      <c r="CC5" s="11" t="n">
        <v>33</v>
      </c>
      <c r="CD5" s="12" t="n">
        <v>5</v>
      </c>
      <c r="CE5" s="13" t="n">
        <v>38.2</v>
      </c>
    </row>
    <row r="6">
      <c r="A6" s="14" t="n">
        <v>45966</v>
      </c>
      <c r="B6" s="15" t="inlineStr">
        <is>
          <t>PFV-ELROMERO</t>
        </is>
      </c>
      <c r="C6" s="11" t="n">
        <v>5</v>
      </c>
      <c r="D6" s="12" t="n">
        <v>0</v>
      </c>
      <c r="E6" s="13" t="n">
        <v>5.4</v>
      </c>
      <c r="F6" s="11" t="n">
        <v>5</v>
      </c>
      <c r="G6" s="12" t="n">
        <v>22</v>
      </c>
      <c r="H6" s="13" t="n">
        <v>26.5</v>
      </c>
      <c r="I6" s="11" t="n">
        <v>37</v>
      </c>
      <c r="J6" s="12" t="n">
        <v>5</v>
      </c>
      <c r="K6" s="13" t="n">
        <v>42.3</v>
      </c>
      <c r="L6" s="11" t="n">
        <v>38</v>
      </c>
      <c r="M6" s="12" t="n">
        <v>17</v>
      </c>
      <c r="N6" s="13" t="n">
        <v>55</v>
      </c>
      <c r="O6" s="11" t="n">
        <v>39</v>
      </c>
      <c r="P6" s="12" t="n">
        <v>42</v>
      </c>
      <c r="Q6" s="13" t="n">
        <v>81.09999999999999</v>
      </c>
      <c r="R6" s="11" t="n">
        <v>49</v>
      </c>
      <c r="S6" s="12" t="n">
        <v>86</v>
      </c>
      <c r="T6" s="13" t="n">
        <v>134.7</v>
      </c>
      <c r="U6" s="11" t="n">
        <v>69</v>
      </c>
      <c r="V6" s="12" t="n">
        <v>77</v>
      </c>
      <c r="W6" s="13" t="n">
        <v>146.3</v>
      </c>
      <c r="X6" s="11" t="n">
        <v>69</v>
      </c>
      <c r="Y6" s="12" t="n">
        <v>59</v>
      </c>
      <c r="Z6" s="13" t="n">
        <v>127.8</v>
      </c>
      <c r="AA6" s="11" t="n">
        <v>37</v>
      </c>
      <c r="AB6" s="12" t="n">
        <v>78</v>
      </c>
      <c r="AC6" s="13" t="n">
        <v>115</v>
      </c>
      <c r="AD6" s="11" t="n">
        <v>54</v>
      </c>
      <c r="AE6" s="12" t="n">
        <v>50</v>
      </c>
      <c r="AF6" s="13" t="n">
        <v>103.8</v>
      </c>
      <c r="AG6" s="11" t="n">
        <v>67</v>
      </c>
      <c r="AH6" s="12" t="n">
        <v>46</v>
      </c>
      <c r="AI6" s="13" t="n">
        <v>113</v>
      </c>
      <c r="AJ6" s="11" t="n">
        <v>66</v>
      </c>
      <c r="AK6" s="12" t="n">
        <v>36</v>
      </c>
      <c r="AL6" s="13" t="n">
        <v>101.5</v>
      </c>
      <c r="AM6" s="11" t="n">
        <v>50</v>
      </c>
      <c r="AN6" s="12" t="n">
        <v>43</v>
      </c>
      <c r="AO6" s="13" t="n">
        <v>92.3</v>
      </c>
      <c r="AP6" s="11" t="n">
        <v>57</v>
      </c>
      <c r="AQ6" s="12" t="n">
        <v>23</v>
      </c>
      <c r="AR6" s="13" t="n">
        <v>80.5</v>
      </c>
      <c r="AS6" s="11" t="n">
        <v>115</v>
      </c>
      <c r="AT6" s="12" t="n">
        <v>-31</v>
      </c>
      <c r="AU6" s="13" t="n">
        <v>84.40000000000001</v>
      </c>
      <c r="AV6" s="11" t="n">
        <v>57</v>
      </c>
      <c r="AW6" s="12" t="n">
        <v>24</v>
      </c>
      <c r="AX6" s="13" t="n">
        <v>81.59999999999999</v>
      </c>
      <c r="AY6" s="11" t="n">
        <v>80</v>
      </c>
      <c r="AZ6" s="12" t="n">
        <v>-9</v>
      </c>
      <c r="BA6" s="13" t="n">
        <v>71.3</v>
      </c>
      <c r="BB6" s="11" t="n">
        <v>70</v>
      </c>
      <c r="BC6" s="12" t="n">
        <v>10</v>
      </c>
      <c r="BD6" s="13" t="n">
        <v>80</v>
      </c>
      <c r="BE6" s="11" t="n">
        <v>79</v>
      </c>
      <c r="BF6" s="12" t="n">
        <v>4</v>
      </c>
      <c r="BG6" s="13" t="n">
        <v>82.8</v>
      </c>
      <c r="BH6" s="11" t="n">
        <v>82</v>
      </c>
      <c r="BI6" s="12" t="n">
        <v>3</v>
      </c>
      <c r="BJ6" s="13" t="n">
        <v>85</v>
      </c>
      <c r="BK6" s="11" t="n">
        <v>84</v>
      </c>
      <c r="BL6" s="12" t="n">
        <v>-9</v>
      </c>
      <c r="BM6" s="13" t="n">
        <v>75.2</v>
      </c>
      <c r="BN6" s="11" t="n">
        <v>74</v>
      </c>
      <c r="BO6" s="12" t="n">
        <v>1</v>
      </c>
      <c r="BP6" s="13" t="n">
        <v>75.7</v>
      </c>
      <c r="BQ6" s="11" t="n">
        <v>72</v>
      </c>
      <c r="BR6" s="12" t="n">
        <v>-8</v>
      </c>
      <c r="BS6" s="13" t="n">
        <v>64.8</v>
      </c>
      <c r="BT6" s="11" t="n">
        <v>40</v>
      </c>
      <c r="BU6" s="12" t="n">
        <v>7</v>
      </c>
      <c r="BV6" s="13" t="n">
        <v>46.7</v>
      </c>
      <c r="BW6" s="11" t="n">
        <v>32</v>
      </c>
      <c r="BX6" s="12" t="n">
        <v>6</v>
      </c>
      <c r="BY6" s="13" t="n">
        <v>37.6</v>
      </c>
      <c r="BZ6" s="11" t="n">
        <v>25</v>
      </c>
      <c r="CA6" s="12" t="n">
        <v>5</v>
      </c>
      <c r="CB6" s="13" t="n">
        <v>30</v>
      </c>
      <c r="CC6" s="11" t="n">
        <v>14</v>
      </c>
      <c r="CD6" s="12" t="n">
        <v>6</v>
      </c>
      <c r="CE6" s="13" t="n">
        <v>20.1</v>
      </c>
    </row>
    <row r="7">
      <c r="A7" s="9" t="n">
        <v>45966</v>
      </c>
      <c r="B7" s="10" t="inlineStr">
        <is>
          <t>PFV-LAHUELLA</t>
        </is>
      </c>
      <c r="C7" s="11" t="n">
        <v>10</v>
      </c>
      <c r="D7" s="12" t="n">
        <v>0</v>
      </c>
      <c r="E7" s="13" t="n">
        <v>10.5</v>
      </c>
      <c r="F7" s="11" t="n">
        <v>13</v>
      </c>
      <c r="G7" s="12" t="n">
        <v>6</v>
      </c>
      <c r="H7" s="13" t="n">
        <v>19.1</v>
      </c>
      <c r="I7" s="11" t="n">
        <v>19</v>
      </c>
      <c r="J7" s="12" t="n">
        <v>7</v>
      </c>
      <c r="K7" s="13" t="n">
        <v>25.8</v>
      </c>
      <c r="L7" s="11" t="n">
        <v>26</v>
      </c>
      <c r="M7" s="12" t="n">
        <v>6</v>
      </c>
      <c r="N7" s="13" t="n">
        <v>31.5</v>
      </c>
      <c r="O7" s="11" t="n">
        <v>26</v>
      </c>
      <c r="P7" s="12" t="n">
        <v>11</v>
      </c>
      <c r="Q7" s="13" t="n">
        <v>36.8</v>
      </c>
      <c r="R7" s="11" t="n">
        <v>62</v>
      </c>
      <c r="S7" s="12" t="n">
        <v>-4</v>
      </c>
      <c r="T7" s="13" t="n">
        <v>58.4</v>
      </c>
      <c r="U7" s="11" t="n">
        <v>58</v>
      </c>
      <c r="V7" s="12" t="n">
        <v>5</v>
      </c>
      <c r="W7" s="13" t="n">
        <v>63.4</v>
      </c>
      <c r="X7" s="11" t="n">
        <v>63</v>
      </c>
      <c r="Y7" s="12" t="n">
        <v>-8</v>
      </c>
      <c r="Z7" s="13" t="n">
        <v>55.4</v>
      </c>
      <c r="AA7" s="11" t="n">
        <v>55</v>
      </c>
      <c r="AB7" s="12" t="n">
        <v>-5</v>
      </c>
      <c r="AC7" s="13" t="n">
        <v>49.8</v>
      </c>
      <c r="AD7" s="11" t="n">
        <v>50</v>
      </c>
      <c r="AE7" s="12" t="n">
        <v>-5</v>
      </c>
      <c r="AF7" s="13" t="n">
        <v>45</v>
      </c>
      <c r="AG7" s="11" t="n">
        <v>45</v>
      </c>
      <c r="AH7" s="12" t="n">
        <v>4</v>
      </c>
      <c r="AI7" s="13" t="n">
        <v>49</v>
      </c>
      <c r="AJ7" s="11" t="n">
        <v>45</v>
      </c>
      <c r="AK7" s="12" t="n">
        <v>-1</v>
      </c>
      <c r="AL7" s="13" t="n">
        <v>44</v>
      </c>
      <c r="AM7" s="11" t="n">
        <v>44</v>
      </c>
      <c r="AN7" s="12" t="n">
        <v>-4</v>
      </c>
      <c r="AO7" s="13" t="n">
        <v>40</v>
      </c>
      <c r="AP7" s="11" t="n">
        <v>40</v>
      </c>
      <c r="AQ7" s="12" t="n">
        <v>-5</v>
      </c>
      <c r="AR7" s="13" t="n">
        <v>34.9</v>
      </c>
      <c r="AS7" s="11" t="n">
        <v>35</v>
      </c>
      <c r="AT7" s="12" t="n">
        <v>2</v>
      </c>
      <c r="AU7" s="13" t="n">
        <v>37</v>
      </c>
      <c r="AV7" s="11" t="n">
        <v>37</v>
      </c>
      <c r="AW7" s="12" t="n">
        <v>-3</v>
      </c>
      <c r="AX7" s="13" t="n">
        <v>34.3</v>
      </c>
      <c r="AY7" s="11" t="n">
        <v>34</v>
      </c>
      <c r="AZ7" s="12" t="n">
        <v>2</v>
      </c>
      <c r="BA7" s="13" t="n">
        <v>36</v>
      </c>
      <c r="BB7" s="11" t="n">
        <v>36</v>
      </c>
      <c r="BC7" s="12" t="n">
        <v>-1</v>
      </c>
      <c r="BD7" s="13" t="n">
        <v>34.7</v>
      </c>
      <c r="BE7" s="11" t="n">
        <v>35</v>
      </c>
      <c r="BF7" s="12" t="n">
        <v>1</v>
      </c>
      <c r="BG7" s="13" t="n">
        <v>35.9</v>
      </c>
      <c r="BH7" s="11" t="n">
        <v>36</v>
      </c>
      <c r="BI7" s="12" t="n">
        <v>1</v>
      </c>
      <c r="BJ7" s="13" t="n">
        <v>36.9</v>
      </c>
      <c r="BK7" s="11" t="n">
        <v>37</v>
      </c>
      <c r="BL7" s="12" t="n">
        <v>-4</v>
      </c>
      <c r="BM7" s="13" t="n">
        <v>32.6</v>
      </c>
      <c r="BN7" s="11" t="n">
        <v>33</v>
      </c>
      <c r="BO7" s="12" t="n">
        <v>-0</v>
      </c>
      <c r="BP7" s="13" t="n">
        <v>32.8</v>
      </c>
      <c r="BQ7" s="11" t="n">
        <v>33</v>
      </c>
      <c r="BR7" s="12" t="n">
        <v>-5</v>
      </c>
      <c r="BS7" s="13" t="n">
        <v>28.1</v>
      </c>
      <c r="BT7" s="11" t="n">
        <v>28</v>
      </c>
      <c r="BU7" s="12" t="n">
        <v>10</v>
      </c>
      <c r="BV7" s="13" t="n">
        <v>37.8</v>
      </c>
      <c r="BW7" s="11" t="n">
        <v>38</v>
      </c>
      <c r="BX7" s="12" t="n">
        <v>-6</v>
      </c>
      <c r="BY7" s="13" t="n">
        <v>32.3</v>
      </c>
      <c r="BZ7" s="11" t="n">
        <v>32</v>
      </c>
      <c r="CA7" s="12" t="n">
        <v>-6</v>
      </c>
      <c r="CB7" s="13" t="n">
        <v>25.5</v>
      </c>
      <c r="CC7" s="11" t="n">
        <v>26</v>
      </c>
      <c r="CD7" s="12" t="n">
        <v>6</v>
      </c>
      <c r="CE7" s="13" t="n">
        <v>31.5</v>
      </c>
    </row>
    <row r="10">
      <c r="E10" s="16" t="inlineStr">
        <is>
          <t>suma total</t>
        </is>
      </c>
      <c r="F10" s="17" t="inlineStr">
        <is>
          <t>GEN.ACTUAL</t>
        </is>
      </c>
      <c r="G10" s="17" t="inlineStr">
        <is>
          <t>MONTO</t>
        </is>
      </c>
      <c r="H10" s="17" t="inlineStr">
        <is>
          <t>CONSIGNA</t>
        </is>
      </c>
    </row>
    <row r="11">
      <c r="E11" s="18" t="inlineStr">
        <is>
          <t>PFV-ELPELICANO</t>
        </is>
      </c>
      <c r="F11" s="19">
        <f>SUM(C5,F5,I5,L5,O5,R5,U5,X5,AA5,AD5,AG5,AJ5,AM5,AP5,AS5,AV5,AY5,BB5,BE5,BH5,BK5,BN5,BQ5,BT5,BW5,BZ5,CC5)</f>
        <v/>
      </c>
      <c r="G11" s="20">
        <f>SUM(D5,G5,J5,M5,P5,S5,V5,Y5,AB5,AE5,AH5,AK5,AN5,AQ5,AT5,AW5,AZ5,BC5,BF5,BI5,BL5,BO5,BR5,BU5,BX5,CA5,CD5)</f>
        <v/>
      </c>
      <c r="H11" s="21">
        <f>SUM(E5,H5,K5,N5,Q5,T5,W5,Z5,AC5,AF5,AI5,AL5,AO5,AR5,AU5,AX5,BA5,BD5,BG5,BJ5,BM5,BP5,BS5,BV5,BY5,CB5,CE5)</f>
        <v/>
      </c>
    </row>
    <row r="12">
      <c r="E12" s="18" t="inlineStr">
        <is>
          <t>PFV-ELROMERO</t>
        </is>
      </c>
      <c r="F12" s="19">
        <f>SUM(C6,F6,I6,L6,O6,R6,U6,X6,AA6,AD6,AG6,AJ6,AM6,AP6,AS6,AV6,AY6,BB6,BE6,BH6,BK6,BN6,BQ6,BT6,BW6,BZ6,CC6)</f>
        <v/>
      </c>
      <c r="G12" s="20">
        <f>SUM(D6,G6,J6,M6,P6,S6,V6,Y6,AB6,AE6,AH6,AK6,AN6,AQ6,AT6,AW6,AZ6,BC6,BF6,BI6,BL6,BO6,BR6,BU6,BX6,CA6,CD6)</f>
        <v/>
      </c>
      <c r="H12" s="21">
        <f>SUM(E6,H6,K6,N6,Q6,T6,W6,Z6,AC6,AF6,AI6,AL6,AO6,AR6,AU6,AX6,BA6,BD6,BG6,BJ6,BM6,BP6,BS6,BV6,BY6,CB6,CE6)</f>
        <v/>
      </c>
    </row>
    <row r="13">
      <c r="E13" s="18" t="inlineStr">
        <is>
          <t>PFV-LAHUELLA</t>
        </is>
      </c>
      <c r="F13" s="19">
        <f>SUM(C7,F7,I7,L7,O7,R7,U7,X7,AA7,AD7,AG7,AJ7,AM7,AP7,AS7,AV7,AY7,BB7,BE7,BH7,BK7,BN7,BQ7,BT7,BW7,BZ7,CC7)</f>
        <v/>
      </c>
      <c r="G13" s="20">
        <f>SUM(D7,G7,J7,M7,P7,S7,V7,Y7,AB7,AE7,AH7,AK7,AN7,AQ7,AT7,AW7,AZ7,BC7,BF7,BI7,BL7,BO7,BR7,BU7,BX7,CA7,CD7)</f>
        <v/>
      </c>
      <c r="H13" s="21">
        <f>SUM(E7,H7,K7,N7,Q7,T7,W7,Z7,AC7,AF7,AI7,AL7,AO7,AR7,AU7,AX7,BA7,BD7,BG7,BJ7,BM7,BP7,BS7,BV7,BY7,CB7,CE7)</f>
        <v/>
      </c>
    </row>
    <row r="114">
      <c r="C114" t="inlineStr">
        <is>
          <t>07:24</t>
        </is>
      </c>
      <c r="D114" t="inlineStr">
        <is>
          <t>07:46</t>
        </is>
      </c>
      <c r="E114" t="inlineStr">
        <is>
          <t>08:06</t>
        </is>
      </c>
      <c r="F114" t="inlineStr">
        <is>
          <t>08:21</t>
        </is>
      </c>
      <c r="G114" t="inlineStr">
        <is>
          <t>08:50</t>
        </is>
      </c>
      <c r="H114" t="inlineStr">
        <is>
          <t>10:56</t>
        </is>
      </c>
      <c r="I114" t="inlineStr">
        <is>
          <t>11:10</t>
        </is>
      </c>
      <c r="J114" t="inlineStr">
        <is>
          <t>12:21</t>
        </is>
      </c>
      <c r="K114" t="inlineStr">
        <is>
          <t>12:27</t>
        </is>
      </c>
      <c r="L114" t="inlineStr">
        <is>
          <t>13:07</t>
        </is>
      </c>
      <c r="M114" t="inlineStr">
        <is>
          <t>13:25</t>
        </is>
      </c>
      <c r="N114" t="inlineStr">
        <is>
          <t>13:29</t>
        </is>
      </c>
      <c r="O114" t="inlineStr">
        <is>
          <t>13:54</t>
        </is>
      </c>
      <c r="P114" t="inlineStr">
        <is>
          <t>14:10</t>
        </is>
      </c>
      <c r="Q114" t="inlineStr">
        <is>
          <t>14:23</t>
        </is>
      </c>
      <c r="R114" t="inlineStr">
        <is>
          <t>14:55</t>
        </is>
      </c>
      <c r="S114" t="inlineStr">
        <is>
          <t>15:23</t>
        </is>
      </c>
      <c r="T114" t="inlineStr">
        <is>
          <t>16:09</t>
        </is>
      </c>
      <c r="U114" t="inlineStr">
        <is>
          <t>16:22</t>
        </is>
      </c>
      <c r="V114" t="inlineStr">
        <is>
          <t>16:40</t>
        </is>
      </c>
      <c r="W114" t="inlineStr">
        <is>
          <t>17:25</t>
        </is>
      </c>
      <c r="X114" t="inlineStr">
        <is>
          <t>17:53</t>
        </is>
      </c>
      <c r="Y114" t="inlineStr">
        <is>
          <t>18:02</t>
        </is>
      </c>
      <c r="Z114" t="inlineStr">
        <is>
          <t>18:35</t>
        </is>
      </c>
      <c r="AA114" t="inlineStr">
        <is>
          <t>18:44</t>
        </is>
      </c>
      <c r="AB114" t="inlineStr">
        <is>
          <t>18:51</t>
        </is>
      </c>
      <c r="AC114" t="inlineStr">
        <is>
          <t>19:05</t>
        </is>
      </c>
    </row>
    <row r="115">
      <c r="C115" t="n">
        <v>14</v>
      </c>
      <c r="D115" t="n">
        <v>14</v>
      </c>
      <c r="E115" t="n">
        <v>24</v>
      </c>
      <c r="F115" t="n">
        <v>33</v>
      </c>
      <c r="G115" t="n">
        <v>40</v>
      </c>
      <c r="H115" t="n">
        <v>103</v>
      </c>
      <c r="I115" t="n">
        <v>104</v>
      </c>
      <c r="J115" t="n">
        <v>14</v>
      </c>
      <c r="K115" t="n">
        <v>14</v>
      </c>
      <c r="L115" t="n">
        <v>63</v>
      </c>
      <c r="M115" t="n">
        <v>57</v>
      </c>
      <c r="N115" t="n">
        <v>57</v>
      </c>
      <c r="O115" t="n">
        <v>56</v>
      </c>
      <c r="P115" t="n">
        <v>51</v>
      </c>
      <c r="Q115" t="n">
        <v>44</v>
      </c>
      <c r="R115" t="n">
        <v>47</v>
      </c>
      <c r="S115" t="n">
        <v>44</v>
      </c>
      <c r="T115" t="n">
        <v>46</v>
      </c>
      <c r="U115" t="n">
        <v>44</v>
      </c>
      <c r="V115" t="n">
        <v>44</v>
      </c>
      <c r="W115" t="n">
        <v>47</v>
      </c>
      <c r="X115" t="n">
        <v>42</v>
      </c>
      <c r="Y115" t="n">
        <v>42</v>
      </c>
      <c r="Z115" t="n">
        <v>36</v>
      </c>
      <c r="AA115" t="n">
        <v>36</v>
      </c>
      <c r="AB115" t="n">
        <v>41</v>
      </c>
      <c r="AC115" t="n">
        <v>33</v>
      </c>
    </row>
    <row r="116">
      <c r="C116" t="n">
        <v>5</v>
      </c>
      <c r="D116" t="n">
        <v>5</v>
      </c>
      <c r="E116" t="n">
        <v>37</v>
      </c>
      <c r="F116" t="n">
        <v>38</v>
      </c>
      <c r="G116" t="n">
        <v>39</v>
      </c>
      <c r="H116" t="n">
        <v>49</v>
      </c>
      <c r="I116" t="n">
        <v>69</v>
      </c>
      <c r="J116" t="n">
        <v>69</v>
      </c>
      <c r="K116" t="n">
        <v>37</v>
      </c>
      <c r="L116" t="n">
        <v>54</v>
      </c>
      <c r="M116" t="n">
        <v>67</v>
      </c>
      <c r="N116" t="n">
        <v>66</v>
      </c>
      <c r="O116" t="n">
        <v>50</v>
      </c>
      <c r="P116" t="n">
        <v>57</v>
      </c>
      <c r="Q116" t="n">
        <v>115</v>
      </c>
      <c r="R116" t="n">
        <v>57</v>
      </c>
      <c r="S116" t="n">
        <v>80</v>
      </c>
      <c r="T116" t="n">
        <v>70</v>
      </c>
      <c r="U116" t="n">
        <v>79</v>
      </c>
      <c r="V116" t="n">
        <v>82</v>
      </c>
      <c r="W116" t="n">
        <v>84</v>
      </c>
      <c r="X116" t="n">
        <v>74</v>
      </c>
      <c r="Y116" t="n">
        <v>72</v>
      </c>
      <c r="Z116" t="n">
        <v>40</v>
      </c>
      <c r="AA116" t="n">
        <v>32</v>
      </c>
      <c r="AB116" t="n">
        <v>25</v>
      </c>
      <c r="AC116" t="n">
        <v>14</v>
      </c>
    </row>
    <row r="117">
      <c r="C117" t="n">
        <v>10</v>
      </c>
      <c r="D117" t="n">
        <v>13</v>
      </c>
      <c r="E117" t="n">
        <v>19</v>
      </c>
      <c r="F117" t="n">
        <v>26</v>
      </c>
      <c r="G117" t="n">
        <v>26</v>
      </c>
      <c r="H117" t="n">
        <v>62</v>
      </c>
      <c r="I117" t="n">
        <v>58</v>
      </c>
      <c r="J117" t="n">
        <v>63</v>
      </c>
      <c r="K117" t="n">
        <v>55</v>
      </c>
      <c r="L117" t="n">
        <v>50</v>
      </c>
      <c r="M117" t="n">
        <v>45</v>
      </c>
      <c r="N117" t="n">
        <v>45</v>
      </c>
      <c r="O117" t="n">
        <v>44</v>
      </c>
      <c r="P117" t="n">
        <v>40</v>
      </c>
      <c r="Q117" t="n">
        <v>35</v>
      </c>
      <c r="R117" t="n">
        <v>37</v>
      </c>
      <c r="S117" t="n">
        <v>34</v>
      </c>
      <c r="T117" t="n">
        <v>36</v>
      </c>
      <c r="U117" t="n">
        <v>35</v>
      </c>
      <c r="V117" t="n">
        <v>36</v>
      </c>
      <c r="W117" t="n">
        <v>37</v>
      </c>
      <c r="X117" t="n">
        <v>33</v>
      </c>
      <c r="Y117" t="n">
        <v>33</v>
      </c>
      <c r="Z117" t="n">
        <v>28</v>
      </c>
      <c r="AA117" t="n">
        <v>38</v>
      </c>
      <c r="AB117" t="n">
        <v>32</v>
      </c>
      <c r="AC117" t="n">
        <v>26</v>
      </c>
    </row>
  </sheetData>
  <mergeCells count="29">
    <mergeCell ref="BN3:BP3"/>
    <mergeCell ref="BZ3:CB3"/>
    <mergeCell ref="B3:B4"/>
    <mergeCell ref="X3:Z3"/>
    <mergeCell ref="AJ3:AL3"/>
    <mergeCell ref="I3:K3"/>
    <mergeCell ref="U3:W3"/>
    <mergeCell ref="BT3:BV3"/>
    <mergeCell ref="BK3:BM3"/>
    <mergeCell ref="BQ3:BS3"/>
    <mergeCell ref="R3:T3"/>
    <mergeCell ref="BW3:BY3"/>
    <mergeCell ref="A3:A4"/>
    <mergeCell ref="AG3:AI3"/>
    <mergeCell ref="AA3:AC3"/>
    <mergeCell ref="AM3:AO3"/>
    <mergeCell ref="AS3:AU3"/>
    <mergeCell ref="CC3:CE3"/>
    <mergeCell ref="C3:E3"/>
    <mergeCell ref="AD3:AF3"/>
    <mergeCell ref="AY3:BA3"/>
    <mergeCell ref="BE3:BG3"/>
    <mergeCell ref="AP3:AR3"/>
    <mergeCell ref="O3:Q3"/>
    <mergeCell ref="BB3:BD3"/>
    <mergeCell ref="AV3:AX3"/>
    <mergeCell ref="F3:H3"/>
    <mergeCell ref="L3:N3"/>
    <mergeCell ref="BH3:B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2025-11-06T18:45:01Z</dcterms:created>
  <dcterms:modified xsi:type="dcterms:W3CDTF">2025-11-06T18:45:21Z</dcterms:modified>
</cp:coreProperties>
</file>